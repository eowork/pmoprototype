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F03ADF1-B97A-4C1E-B199-0E6EECFB0799}" xr6:coauthVersionLast="47" xr6:coauthVersionMax="47" xr10:uidLastSave="{00000000-0000-0000-0000-000000000000}"/>
  <bookViews>
    <workbookView xWindow="-28920" yWindow="2130" windowWidth="29040" windowHeight="15720" tabRatio="602" xr2:uid="{00000000-000D-0000-FFFF-FFFF00000000}"/>
  </bookViews>
  <sheets>
    <sheet name="RAF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RAF!$A$1:$AO$265</definedName>
    <definedName name="_xlnm.Print_Titles" localSheetId="0">RAF!$8:$9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252" i="1" l="1"/>
  <c r="AK253" i="1"/>
  <c r="AM99" i="1"/>
  <c r="AK99" i="1"/>
  <c r="AL99" i="1" s="1"/>
  <c r="AJ99" i="1"/>
  <c r="AH99" i="1"/>
  <c r="AI99" i="1" s="1"/>
  <c r="AG99" i="1"/>
  <c r="AF99" i="1"/>
  <c r="AE99" i="1"/>
  <c r="AD99" i="1"/>
  <c r="AB99" i="1"/>
  <c r="AC99" i="1" s="1"/>
  <c r="AA99" i="1"/>
  <c r="Z99" i="1"/>
  <c r="Y99" i="1"/>
  <c r="X99" i="1"/>
  <c r="AN98" i="1"/>
  <c r="AO98" i="1" s="1"/>
  <c r="AM98" i="1"/>
  <c r="X84" i="1"/>
  <c r="X82" i="1"/>
  <c r="AM84" i="1"/>
  <c r="AK84" i="1"/>
  <c r="AL84" i="1" s="1"/>
  <c r="AJ84" i="1"/>
  <c r="AH84" i="1"/>
  <c r="AI84" i="1" s="1"/>
  <c r="AG84" i="1"/>
  <c r="AE84" i="1"/>
  <c r="AD84" i="1"/>
  <c r="AB84" i="1"/>
  <c r="AC84" i="1" s="1"/>
  <c r="AA84" i="1"/>
  <c r="Z84" i="1"/>
  <c r="Y84" i="1"/>
  <c r="AN83" i="1"/>
  <c r="AO83" i="1" s="1"/>
  <c r="AM83" i="1"/>
  <c r="AK83" i="1"/>
  <c r="AJ83" i="1"/>
  <c r="AN82" i="1"/>
  <c r="AM82" i="1"/>
  <c r="Y82" i="1"/>
  <c r="Z82" i="1" s="1"/>
  <c r="AN68" i="1"/>
  <c r="AM68" i="1"/>
  <c r="AN67" i="1"/>
  <c r="AM67" i="1"/>
  <c r="Y67" i="1"/>
  <c r="X67" i="1"/>
  <c r="AN54" i="1"/>
  <c r="AM54" i="1"/>
  <c r="AN53" i="1"/>
  <c r="AM53" i="1"/>
  <c r="AN52" i="1"/>
  <c r="AM52" i="1"/>
  <c r="AK54" i="1"/>
  <c r="AJ54" i="1"/>
  <c r="AH54" i="1"/>
  <c r="AG54" i="1"/>
  <c r="AE54" i="1"/>
  <c r="AD54" i="1"/>
  <c r="AB54" i="1"/>
  <c r="AA54" i="1"/>
  <c r="AC54" i="1"/>
  <c r="Y54" i="1"/>
  <c r="X54" i="1"/>
  <c r="X38" i="1"/>
  <c r="AM39" i="1"/>
  <c r="Y39" i="1"/>
  <c r="X39" i="1"/>
  <c r="AM38" i="1"/>
  <c r="AE38" i="1"/>
  <c r="AD38" i="1"/>
  <c r="AB38" i="1"/>
  <c r="AA38" i="1"/>
  <c r="Y38" i="1"/>
  <c r="AN23" i="1"/>
  <c r="AM23" i="1"/>
  <c r="AM22" i="1"/>
  <c r="AN257" i="1"/>
  <c r="AM257" i="1"/>
  <c r="AF84" i="1" l="1"/>
  <c r="Z67" i="1"/>
  <c r="AO82" i="1"/>
  <c r="AL83" i="1"/>
  <c r="Z54" i="1"/>
  <c r="AO68" i="1"/>
  <c r="AO67" i="1"/>
  <c r="AL54" i="1"/>
  <c r="AI54" i="1"/>
  <c r="AF54" i="1"/>
  <c r="AO53" i="1"/>
  <c r="AO54" i="1"/>
  <c r="AO52" i="1"/>
  <c r="AO23" i="1"/>
  <c r="AF38" i="1"/>
  <c r="AN248" i="1" l="1"/>
  <c r="AM248" i="1"/>
  <c r="AH252" i="1"/>
  <c r="AH253" i="1"/>
  <c r="AG253" i="1"/>
  <c r="AG252" i="1"/>
  <c r="AE252" i="1"/>
  <c r="AE253" i="1"/>
  <c r="AD253" i="1"/>
  <c r="AD252" i="1"/>
  <c r="AJ253" i="1"/>
  <c r="AJ252" i="1"/>
  <c r="AJ245" i="1"/>
  <c r="AJ243" i="1"/>
  <c r="AK248" i="1"/>
  <c r="AJ220" i="1"/>
  <c r="AJ241" i="1"/>
  <c r="AJ239" i="1"/>
  <c r="AJ237" i="1"/>
  <c r="AJ235" i="1"/>
  <c r="AJ233" i="1"/>
  <c r="AI232" i="1"/>
  <c r="AH230" i="1"/>
  <c r="AG230" i="1"/>
  <c r="AI222" i="1"/>
  <c r="AH220" i="1"/>
  <c r="AH248" i="1" s="1"/>
  <c r="AG220" i="1"/>
  <c r="AE45" i="1"/>
  <c r="AE53" i="1" s="1"/>
  <c r="AD45" i="1"/>
  <c r="AD53" i="1" s="1"/>
  <c r="AE185" i="1"/>
  <c r="AD185" i="1"/>
  <c r="AF157" i="1"/>
  <c r="AE156" i="1"/>
  <c r="AD156" i="1"/>
  <c r="AE223" i="1"/>
  <c r="AD223" i="1"/>
  <c r="AE184" i="1"/>
  <c r="AE186" i="1"/>
  <c r="AF53" i="1" l="1"/>
  <c r="AG248" i="1"/>
  <c r="AJ248" i="1"/>
  <c r="AL245" i="1"/>
  <c r="AL220" i="1"/>
  <c r="AI230" i="1"/>
  <c r="AL237" i="1"/>
  <c r="AL241" i="1"/>
  <c r="AL243" i="1"/>
  <c r="AL235" i="1"/>
  <c r="AL239" i="1"/>
  <c r="AF156" i="1"/>
  <c r="AL233" i="1"/>
  <c r="AI220" i="1"/>
  <c r="AD186" i="1"/>
  <c r="AD211" i="1" s="1"/>
  <c r="AD184" i="1"/>
  <c r="AE74" i="1"/>
  <c r="AE82" i="1" s="1"/>
  <c r="AF82" i="1" s="1"/>
  <c r="AD74" i="1"/>
  <c r="AD82" i="1" s="1"/>
  <c r="AE75" i="1"/>
  <c r="AE83" i="1" s="1"/>
  <c r="AD75" i="1"/>
  <c r="AD83" i="1" s="1"/>
  <c r="AF76" i="1"/>
  <c r="AE91" i="1"/>
  <c r="AE98" i="1" s="1"/>
  <c r="AD91" i="1"/>
  <c r="AD98" i="1" s="1"/>
  <c r="AF117" i="1"/>
  <c r="AF155" i="1"/>
  <c r="AE154" i="1"/>
  <c r="AD154" i="1"/>
  <c r="AF160" i="1"/>
  <c r="AF159" i="1"/>
  <c r="AE158" i="1"/>
  <c r="AD158" i="1"/>
  <c r="AE13" i="1"/>
  <c r="AE22" i="1" s="1"/>
  <c r="AD13" i="1"/>
  <c r="AD22" i="1" s="1"/>
  <c r="AE257" i="1"/>
  <c r="AD257" i="1"/>
  <c r="AF46" i="1"/>
  <c r="AF98" i="1" l="1"/>
  <c r="AF83" i="1"/>
  <c r="AF22" i="1"/>
  <c r="AF158" i="1"/>
  <c r="AF154" i="1"/>
  <c r="AE187" i="1"/>
  <c r="AD187" i="1"/>
  <c r="AB248" i="1"/>
  <c r="AA248" i="1"/>
  <c r="Y248" i="1"/>
  <c r="X248" i="1"/>
  <c r="V248" i="1"/>
  <c r="U248" i="1"/>
  <c r="S248" i="1"/>
  <c r="R248" i="1"/>
  <c r="P248" i="1"/>
  <c r="O248" i="1"/>
  <c r="M248" i="1"/>
  <c r="L248" i="1"/>
  <c r="J248" i="1"/>
  <c r="I248" i="1"/>
  <c r="G248" i="1"/>
  <c r="F248" i="1"/>
  <c r="D248" i="1"/>
  <c r="C248" i="1"/>
  <c r="V253" i="1"/>
  <c r="U253" i="1"/>
  <c r="S253" i="1"/>
  <c r="R253" i="1"/>
  <c r="P253" i="1"/>
  <c r="O253" i="1"/>
  <c r="M253" i="1"/>
  <c r="L253" i="1"/>
  <c r="J253" i="1"/>
  <c r="I253" i="1"/>
  <c r="G253" i="1"/>
  <c r="F253" i="1"/>
  <c r="D253" i="1"/>
  <c r="C253" i="1"/>
  <c r="AB252" i="1"/>
  <c r="AA252" i="1"/>
  <c r="Y252" i="1"/>
  <c r="X252" i="1"/>
  <c r="V252" i="1"/>
  <c r="U252" i="1"/>
  <c r="S252" i="1"/>
  <c r="R252" i="1"/>
  <c r="P252" i="1"/>
  <c r="O252" i="1"/>
  <c r="M252" i="1"/>
  <c r="L252" i="1"/>
  <c r="J252" i="1"/>
  <c r="I252" i="1"/>
  <c r="G252" i="1"/>
  <c r="F252" i="1"/>
  <c r="D252" i="1"/>
  <c r="C252" i="1"/>
  <c r="W253" i="1" l="1"/>
  <c r="AF187" i="1"/>
  <c r="AI248" i="1"/>
  <c r="T252" i="1"/>
  <c r="H248" i="1"/>
  <c r="N248" i="1"/>
  <c r="AL248" i="1"/>
  <c r="E248" i="1"/>
  <c r="K248" i="1"/>
  <c r="T248" i="1"/>
  <c r="E253" i="1"/>
  <c r="Q248" i="1"/>
  <c r="W248" i="1"/>
  <c r="AL252" i="1"/>
  <c r="Q253" i="1"/>
  <c r="H252" i="1"/>
  <c r="E252" i="1"/>
  <c r="K252" i="1"/>
  <c r="Q252" i="1"/>
  <c r="W252" i="1"/>
  <c r="H253" i="1"/>
  <c r="N253" i="1"/>
  <c r="AL253" i="1"/>
  <c r="N252" i="1"/>
  <c r="K253" i="1"/>
  <c r="T253" i="1"/>
  <c r="AI253" i="1"/>
  <c r="AF229" i="1" l="1"/>
  <c r="AE228" i="1"/>
  <c r="AD228" i="1"/>
  <c r="AF227" i="1"/>
  <c r="AF226" i="1"/>
  <c r="AE225" i="1"/>
  <c r="AD225" i="1"/>
  <c r="AF224" i="1"/>
  <c r="AF223" i="1"/>
  <c r="AF222" i="1"/>
  <c r="AE220" i="1"/>
  <c r="AD220" i="1"/>
  <c r="Y219" i="1"/>
  <c r="V219" i="1"/>
  <c r="T219" i="1"/>
  <c r="Q219" i="1"/>
  <c r="AD248" i="1" l="1"/>
  <c r="AE248" i="1"/>
  <c r="AF220" i="1"/>
  <c r="AF228" i="1"/>
  <c r="AF225" i="1"/>
  <c r="AF248" i="1" l="1"/>
  <c r="AE148" i="1"/>
  <c r="AD148" i="1"/>
  <c r="AE144" i="1"/>
  <c r="AD144" i="1"/>
  <c r="AE141" i="1"/>
  <c r="AD141" i="1"/>
  <c r="AE137" i="1"/>
  <c r="AD137" i="1"/>
  <c r="AE133" i="1"/>
  <c r="AD133" i="1"/>
  <c r="AE129" i="1"/>
  <c r="AD129" i="1"/>
  <c r="AE125" i="1"/>
  <c r="AD125" i="1"/>
  <c r="AE122" i="1"/>
  <c r="AD122" i="1"/>
  <c r="AE118" i="1"/>
  <c r="AD118" i="1"/>
  <c r="AE115" i="1"/>
  <c r="AD115" i="1"/>
  <c r="AE110" i="1"/>
  <c r="AD110" i="1"/>
  <c r="AF146" i="1"/>
  <c r="AF149" i="1"/>
  <c r="AF150" i="1"/>
  <c r="AF153" i="1"/>
  <c r="AF152" i="1"/>
  <c r="AF138" i="1"/>
  <c r="AF139" i="1"/>
  <c r="AF142" i="1"/>
  <c r="AF145" i="1"/>
  <c r="AF127" i="1"/>
  <c r="AF126" i="1"/>
  <c r="AF131" i="1"/>
  <c r="AF130" i="1"/>
  <c r="AF134" i="1"/>
  <c r="AF111" i="1"/>
  <c r="AF112" i="1"/>
  <c r="AF135" i="1"/>
  <c r="AF123" i="1"/>
  <c r="AF120" i="1"/>
  <c r="AF119" i="1"/>
  <c r="AF116" i="1"/>
  <c r="AF114" i="1"/>
  <c r="AF113" i="1"/>
  <c r="AF253" i="1" l="1"/>
  <c r="AF125" i="1"/>
  <c r="AF115" i="1"/>
  <c r="AF148" i="1"/>
  <c r="AF144" i="1"/>
  <c r="AF141" i="1"/>
  <c r="AF137" i="1"/>
  <c r="AF133" i="1"/>
  <c r="AF129" i="1"/>
  <c r="AF122" i="1"/>
  <c r="AF118" i="1"/>
  <c r="AD77" i="1"/>
  <c r="AF110" i="1"/>
  <c r="AF164" i="1"/>
  <c r="AG187" i="1"/>
  <c r="AG211" i="1"/>
  <c r="AF252" i="1" l="1"/>
  <c r="AH75" i="1"/>
  <c r="AH83" i="1" s="1"/>
  <c r="AI174" i="1"/>
  <c r="AG75" i="1"/>
  <c r="AG83" i="1" s="1"/>
  <c r="AI161" i="1"/>
  <c r="AH187" i="1"/>
  <c r="AJ187" i="1"/>
  <c r="AI168" i="1"/>
  <c r="AI164" i="1"/>
  <c r="AJ257" i="1"/>
  <c r="AK187" i="1"/>
  <c r="AL168" i="1"/>
  <c r="AL175" i="1"/>
  <c r="AL167" i="1"/>
  <c r="AL166" i="1"/>
  <c r="AL165" i="1"/>
  <c r="AL164" i="1"/>
  <c r="AL163" i="1"/>
  <c r="AL162" i="1"/>
  <c r="AN167" i="1"/>
  <c r="AN166" i="1"/>
  <c r="AN165" i="1"/>
  <c r="AN164" i="1"/>
  <c r="AN163" i="1"/>
  <c r="AN162" i="1"/>
  <c r="AO192" i="1"/>
  <c r="AM187" i="1"/>
  <c r="AO172" i="1"/>
  <c r="AO171" i="1"/>
  <c r="AO170" i="1"/>
  <c r="AO169" i="1"/>
  <c r="Y109" i="1"/>
  <c r="V109" i="1"/>
  <c r="T109" i="1"/>
  <c r="Q109" i="1"/>
  <c r="AN181" i="1"/>
  <c r="AN182" i="1"/>
  <c r="AN183" i="1"/>
  <c r="K183" i="1"/>
  <c r="AO199" i="1"/>
  <c r="AO198" i="1"/>
  <c r="AI83" i="1" l="1"/>
  <c r="AO176" i="1"/>
  <c r="AO168" i="1"/>
  <c r="AH91" i="1" l="1"/>
  <c r="AH98" i="1" s="1"/>
  <c r="AH90" i="1"/>
  <c r="AG91" i="1"/>
  <c r="AG98" i="1" s="1"/>
  <c r="AG90" i="1"/>
  <c r="AH74" i="1"/>
  <c r="AH82" i="1" s="1"/>
  <c r="AG74" i="1"/>
  <c r="AG82" i="1" s="1"/>
  <c r="AH61" i="1"/>
  <c r="AH68" i="1" s="1"/>
  <c r="AI68" i="1" s="1"/>
  <c r="AH60" i="1"/>
  <c r="AH67" i="1" s="1"/>
  <c r="AI67" i="1" s="1"/>
  <c r="AG61" i="1"/>
  <c r="AG68" i="1" s="1"/>
  <c r="AG60" i="1"/>
  <c r="AG67" i="1" s="1"/>
  <c r="AI82" i="1" l="1"/>
  <c r="AI98" i="1"/>
  <c r="AK91" i="1"/>
  <c r="AK98" i="1" s="1"/>
  <c r="AK90" i="1"/>
  <c r="AJ91" i="1"/>
  <c r="AJ98" i="1" s="1"/>
  <c r="AJ90" i="1"/>
  <c r="AK74" i="1"/>
  <c r="AK82" i="1" s="1"/>
  <c r="AJ74" i="1"/>
  <c r="AJ82" i="1" s="1"/>
  <c r="AK61" i="1"/>
  <c r="AK68" i="1" s="1"/>
  <c r="AK60" i="1"/>
  <c r="AK67" i="1" s="1"/>
  <c r="AJ61" i="1"/>
  <c r="AJ68" i="1" s="1"/>
  <c r="AJ60" i="1"/>
  <c r="AJ67" i="1" s="1"/>
  <c r="AK45" i="1"/>
  <c r="AK53" i="1" s="1"/>
  <c r="AK44" i="1"/>
  <c r="AK52" i="1" s="1"/>
  <c r="AJ45" i="1"/>
  <c r="AJ53" i="1" s="1"/>
  <c r="AJ44" i="1"/>
  <c r="AJ52" i="1" s="1"/>
  <c r="AK30" i="1"/>
  <c r="AK39" i="1" s="1"/>
  <c r="AK29" i="1"/>
  <c r="AK38" i="1" s="1"/>
  <c r="AJ30" i="1"/>
  <c r="AJ39" i="1" s="1"/>
  <c r="AJ29" i="1"/>
  <c r="AJ38" i="1" s="1"/>
  <c r="AK14" i="1"/>
  <c r="AK23" i="1" s="1"/>
  <c r="AK13" i="1"/>
  <c r="AK22" i="1" s="1"/>
  <c r="AJ14" i="1"/>
  <c r="AJ23" i="1" s="1"/>
  <c r="AJ13" i="1"/>
  <c r="AJ22" i="1" s="1"/>
  <c r="AL98" i="1" l="1"/>
  <c r="AL38" i="1"/>
  <c r="AL67" i="1"/>
  <c r="AL82" i="1"/>
  <c r="AL39" i="1"/>
  <c r="AL68" i="1"/>
  <c r="AL52" i="1"/>
  <c r="AL53" i="1"/>
  <c r="AL23" i="1"/>
  <c r="AL22" i="1"/>
  <c r="AK210" i="1"/>
  <c r="AJ210" i="1"/>
  <c r="AN30" i="1"/>
  <c r="AJ47" i="1"/>
  <c r="AK47" i="1"/>
  <c r="AN197" i="1"/>
  <c r="AO197" i="1" s="1"/>
  <c r="AN196" i="1"/>
  <c r="AO196" i="1" s="1"/>
  <c r="AN195" i="1"/>
  <c r="AN180" i="1"/>
  <c r="AO180" i="1" s="1"/>
  <c r="AN179" i="1"/>
  <c r="AN92" i="1"/>
  <c r="AN99" i="1" s="1"/>
  <c r="AO99" i="1" s="1"/>
  <c r="AN76" i="1"/>
  <c r="AN84" i="1" s="1"/>
  <c r="AO84" i="1" s="1"/>
  <c r="AO46" i="1"/>
  <c r="AN35" i="1"/>
  <c r="AN34" i="1"/>
  <c r="AO34" i="1" s="1"/>
  <c r="AN31" i="1"/>
  <c r="AN29" i="1"/>
  <c r="AN18" i="1"/>
  <c r="AN22" i="1" s="1"/>
  <c r="AO22" i="1" s="1"/>
  <c r="AN39" i="1" l="1"/>
  <c r="AO39" i="1" s="1"/>
  <c r="AO29" i="1"/>
  <c r="AN38" i="1"/>
  <c r="AO38" i="1" s="1"/>
  <c r="AN187" i="1"/>
  <c r="AN47" i="1"/>
  <c r="AM47" i="1"/>
  <c r="AJ36" i="1" l="1"/>
  <c r="AK257" i="1"/>
  <c r="AL257" i="1" l="1"/>
  <c r="AH45" i="1" l="1"/>
  <c r="AH53" i="1" s="1"/>
  <c r="AG45" i="1"/>
  <c r="AG53" i="1" s="1"/>
  <c r="AI53" i="1" l="1"/>
  <c r="AH257" i="1"/>
  <c r="AG257" i="1"/>
  <c r="AH44" i="1" l="1"/>
  <c r="AH52" i="1" s="1"/>
  <c r="AG44" i="1"/>
  <c r="AG52" i="1" s="1"/>
  <c r="AH30" i="1"/>
  <c r="AH39" i="1" s="1"/>
  <c r="AH29" i="1"/>
  <c r="AH38" i="1" s="1"/>
  <c r="AG30" i="1"/>
  <c r="AG39" i="1" s="1"/>
  <c r="AG29" i="1"/>
  <c r="AG38" i="1" s="1"/>
  <c r="AH14" i="1"/>
  <c r="AG14" i="1"/>
  <c r="AG23" i="1" s="1"/>
  <c r="AH13" i="1"/>
  <c r="AH22" i="1" s="1"/>
  <c r="AG13" i="1"/>
  <c r="AG22" i="1" s="1"/>
  <c r="AI52" i="1" l="1"/>
  <c r="AH210" i="1"/>
  <c r="AH23" i="1"/>
  <c r="AI23" i="1" s="1"/>
  <c r="AI39" i="1"/>
  <c r="AI38" i="1"/>
  <c r="AI22" i="1"/>
  <c r="AG210" i="1"/>
  <c r="AI257" i="1"/>
  <c r="AN210" i="1" l="1"/>
  <c r="AM210" i="1"/>
  <c r="AN209" i="1"/>
  <c r="AM209" i="1"/>
  <c r="AK209" i="1"/>
  <c r="AJ209" i="1"/>
  <c r="AH209" i="1"/>
  <c r="AG209" i="1"/>
  <c r="AN200" i="1"/>
  <c r="AM200" i="1"/>
  <c r="AN97" i="1"/>
  <c r="AM97" i="1"/>
  <c r="AO96" i="1"/>
  <c r="AO95" i="1"/>
  <c r="AN93" i="1"/>
  <c r="AM93" i="1"/>
  <c r="AO91" i="1"/>
  <c r="AO90" i="1"/>
  <c r="AN81" i="1"/>
  <c r="AM81" i="1"/>
  <c r="AO80" i="1"/>
  <c r="AO79" i="1"/>
  <c r="AN77" i="1"/>
  <c r="AM77" i="1"/>
  <c r="AO75" i="1"/>
  <c r="AO74" i="1"/>
  <c r="AN66" i="1"/>
  <c r="AM66" i="1"/>
  <c r="AO65" i="1"/>
  <c r="AO64" i="1"/>
  <c r="AN62" i="1"/>
  <c r="AM62" i="1"/>
  <c r="AM69" i="1" s="1"/>
  <c r="AO61" i="1"/>
  <c r="AO60" i="1"/>
  <c r="AN51" i="1"/>
  <c r="AM51" i="1"/>
  <c r="AM55" i="1" s="1"/>
  <c r="AO50" i="1"/>
  <c r="AO49" i="1"/>
  <c r="AO45" i="1"/>
  <c r="AO44" i="1"/>
  <c r="AO37" i="1"/>
  <c r="AN36" i="1"/>
  <c r="AM36" i="1"/>
  <c r="AO35" i="1"/>
  <c r="AN32" i="1"/>
  <c r="AM32" i="1"/>
  <c r="AO31" i="1"/>
  <c r="AO30" i="1"/>
  <c r="AO21" i="1"/>
  <c r="AN20" i="1"/>
  <c r="AM20" i="1"/>
  <c r="AO19" i="1"/>
  <c r="AO18" i="1"/>
  <c r="AN16" i="1"/>
  <c r="AM16" i="1"/>
  <c r="AO14" i="1"/>
  <c r="AO13" i="1"/>
  <c r="AK200" i="1"/>
  <c r="AJ200" i="1"/>
  <c r="AJ201" i="1" s="1"/>
  <c r="AK97" i="1"/>
  <c r="AJ97" i="1"/>
  <c r="AL96" i="1"/>
  <c r="AL95" i="1"/>
  <c r="AK93" i="1"/>
  <c r="AJ93" i="1"/>
  <c r="AJ254" i="1" s="1"/>
  <c r="AL91" i="1"/>
  <c r="AL90" i="1"/>
  <c r="AK81" i="1"/>
  <c r="AJ81" i="1"/>
  <c r="AL80" i="1"/>
  <c r="AL79" i="1"/>
  <c r="AK77" i="1"/>
  <c r="AJ77" i="1"/>
  <c r="AL75" i="1"/>
  <c r="AL74" i="1"/>
  <c r="AK66" i="1"/>
  <c r="AJ66" i="1"/>
  <c r="AL65" i="1"/>
  <c r="AL64" i="1"/>
  <c r="AK62" i="1"/>
  <c r="AJ62" i="1"/>
  <c r="AL61" i="1"/>
  <c r="AL60" i="1"/>
  <c r="AK51" i="1"/>
  <c r="AJ51" i="1"/>
  <c r="AJ55" i="1" s="1"/>
  <c r="AL50" i="1"/>
  <c r="AL49" i="1"/>
  <c r="AL45" i="1"/>
  <c r="AL44" i="1"/>
  <c r="AL37" i="1"/>
  <c r="AK36" i="1"/>
  <c r="AL36" i="1" s="1"/>
  <c r="AL35" i="1"/>
  <c r="AL34" i="1"/>
  <c r="AK32" i="1"/>
  <c r="AJ32" i="1"/>
  <c r="AL31" i="1"/>
  <c r="AL30" i="1"/>
  <c r="AL29" i="1"/>
  <c r="AL21" i="1"/>
  <c r="AK20" i="1"/>
  <c r="AJ20" i="1"/>
  <c r="AL19" i="1"/>
  <c r="AL18" i="1"/>
  <c r="AK16" i="1"/>
  <c r="AJ16" i="1"/>
  <c r="AL14" i="1"/>
  <c r="AL13" i="1"/>
  <c r="AE81" i="1"/>
  <c r="AE90" i="1"/>
  <c r="AD90" i="1"/>
  <c r="AE61" i="1"/>
  <c r="AE68" i="1" s="1"/>
  <c r="AE60" i="1"/>
  <c r="AE67" i="1" s="1"/>
  <c r="AF67" i="1" s="1"/>
  <c r="AD61" i="1"/>
  <c r="AD68" i="1" s="1"/>
  <c r="AD60" i="1"/>
  <c r="AD67" i="1" s="1"/>
  <c r="AE44" i="1"/>
  <c r="AE52" i="1" s="1"/>
  <c r="AD44" i="1"/>
  <c r="AD52" i="1" s="1"/>
  <c r="AE30" i="1"/>
  <c r="AE39" i="1" s="1"/>
  <c r="AD30" i="1"/>
  <c r="AD39" i="1" s="1"/>
  <c r="AE14" i="1"/>
  <c r="AE23" i="1" s="1"/>
  <c r="AD14" i="1"/>
  <c r="AD23" i="1" s="1"/>
  <c r="AF68" i="1" l="1"/>
  <c r="AF52" i="1"/>
  <c r="AF39" i="1"/>
  <c r="AF23" i="1"/>
  <c r="AN69" i="1"/>
  <c r="AD210" i="1"/>
  <c r="AD209" i="1"/>
  <c r="AK100" i="1"/>
  <c r="AM100" i="1"/>
  <c r="AM254" i="1"/>
  <c r="AN100" i="1"/>
  <c r="AJ69" i="1"/>
  <c r="AJ85" i="1"/>
  <c r="AL187" i="1"/>
  <c r="AE209" i="1"/>
  <c r="AE47" i="1"/>
  <c r="AD47" i="1"/>
  <c r="AN40" i="1"/>
  <c r="AO187" i="1"/>
  <c r="AO51" i="1"/>
  <c r="AO200" i="1"/>
  <c r="AE210" i="1"/>
  <c r="AO97" i="1"/>
  <c r="AL51" i="1"/>
  <c r="AK40" i="1"/>
  <c r="AK24" i="1"/>
  <c r="AF257" i="1"/>
  <c r="AK201" i="1"/>
  <c r="AJ24" i="1"/>
  <c r="AL20" i="1"/>
  <c r="AL66" i="1"/>
  <c r="AL77" i="1"/>
  <c r="AL81" i="1"/>
  <c r="AJ100" i="1"/>
  <c r="AL97" i="1"/>
  <c r="AM85" i="1"/>
  <c r="AO81" i="1"/>
  <c r="AO20" i="1"/>
  <c r="AL93" i="1"/>
  <c r="AO77" i="1"/>
  <c r="AO69" i="1"/>
  <c r="AO47" i="1"/>
  <c r="AM40" i="1"/>
  <c r="AN201" i="1"/>
  <c r="AO93" i="1"/>
  <c r="AO66" i="1"/>
  <c r="AO16" i="1"/>
  <c r="AL47" i="1"/>
  <c r="AL62" i="1"/>
  <c r="AL210" i="1"/>
  <c r="AJ40" i="1"/>
  <c r="AJ211" i="1"/>
  <c r="AJ212" i="1" s="1"/>
  <c r="AM201" i="1"/>
  <c r="AM211" i="1" s="1"/>
  <c r="AM212" i="1" s="1"/>
  <c r="AO209" i="1"/>
  <c r="AM24" i="1"/>
  <c r="AO32" i="1"/>
  <c r="AO62" i="1"/>
  <c r="AO210" i="1"/>
  <c r="AN24" i="1"/>
  <c r="AO36" i="1"/>
  <c r="AN55" i="1"/>
  <c r="AN85" i="1"/>
  <c r="AK69" i="1"/>
  <c r="AL32" i="1"/>
  <c r="AL16" i="1"/>
  <c r="AK55" i="1"/>
  <c r="AK85" i="1"/>
  <c r="AL209" i="1"/>
  <c r="AK211" i="1" l="1"/>
  <c r="AK212" i="1" s="1"/>
  <c r="AL201" i="1"/>
  <c r="AO100" i="1"/>
  <c r="AL85" i="1"/>
  <c r="AL100" i="1"/>
  <c r="AL69" i="1"/>
  <c r="AM102" i="1"/>
  <c r="AM103" i="1" s="1"/>
  <c r="AM203" i="1" s="1"/>
  <c r="AM258" i="1" s="1"/>
  <c r="AN254" i="1"/>
  <c r="AK254" i="1"/>
  <c r="AL254" i="1" s="1"/>
  <c r="AO40" i="1"/>
  <c r="AL24" i="1"/>
  <c r="AJ102" i="1"/>
  <c r="AJ103" i="1" s="1"/>
  <c r="AJ203" i="1" s="1"/>
  <c r="AJ258" i="1" s="1"/>
  <c r="AN211" i="1"/>
  <c r="AN212" i="1" s="1"/>
  <c r="AO212" i="1" s="1"/>
  <c r="AO201" i="1"/>
  <c r="AL40" i="1"/>
  <c r="AO85" i="1"/>
  <c r="AK102" i="1"/>
  <c r="AL211" i="1"/>
  <c r="AO55" i="1"/>
  <c r="AO56" i="1" s="1"/>
  <c r="AN102" i="1"/>
  <c r="AO24" i="1"/>
  <c r="AL212" i="1"/>
  <c r="AL55" i="1"/>
  <c r="AL56" i="1" s="1"/>
  <c r="AO211" i="1" l="1"/>
  <c r="AO102" i="1"/>
  <c r="AN103" i="1"/>
  <c r="AL102" i="1"/>
  <c r="AK103" i="1"/>
  <c r="AO103" i="1" l="1"/>
  <c r="AN203" i="1"/>
  <c r="AL103" i="1"/>
  <c r="AK203" i="1"/>
  <c r="AL203" i="1" l="1"/>
  <c r="AK258" i="1"/>
  <c r="AO203" i="1"/>
  <c r="AN258" i="1"/>
  <c r="AI209" i="1"/>
  <c r="AI210" i="1"/>
  <c r="AF209" i="1"/>
  <c r="AF210" i="1"/>
  <c r="AI13" i="1"/>
  <c r="AI14" i="1"/>
  <c r="AG16" i="1"/>
  <c r="AH16" i="1"/>
  <c r="AI18" i="1"/>
  <c r="AI19" i="1"/>
  <c r="AG20" i="1"/>
  <c r="AH20" i="1"/>
  <c r="AI21" i="1"/>
  <c r="AI29" i="1"/>
  <c r="AI30" i="1"/>
  <c r="AI31" i="1"/>
  <c r="AG32" i="1"/>
  <c r="AH32" i="1"/>
  <c r="AI34" i="1"/>
  <c r="AI35" i="1"/>
  <c r="AG36" i="1"/>
  <c r="AH36" i="1"/>
  <c r="AI37" i="1"/>
  <c r="AI44" i="1"/>
  <c r="AI45" i="1"/>
  <c r="AG47" i="1"/>
  <c r="AH47" i="1"/>
  <c r="AI49" i="1"/>
  <c r="AI50" i="1"/>
  <c r="AG51" i="1"/>
  <c r="AH51" i="1"/>
  <c r="AI60" i="1"/>
  <c r="AI61" i="1"/>
  <c r="AG62" i="1"/>
  <c r="AH62" i="1"/>
  <c r="AI64" i="1"/>
  <c r="AI65" i="1"/>
  <c r="AG66" i="1"/>
  <c r="AH66" i="1"/>
  <c r="AI74" i="1"/>
  <c r="AI75" i="1"/>
  <c r="AG77" i="1"/>
  <c r="AH77" i="1"/>
  <c r="AI79" i="1"/>
  <c r="AI80" i="1"/>
  <c r="AG81" i="1"/>
  <c r="AH81" i="1"/>
  <c r="AI90" i="1"/>
  <c r="AI91" i="1"/>
  <c r="AG93" i="1"/>
  <c r="AH93" i="1"/>
  <c r="AI95" i="1"/>
  <c r="AI96" i="1"/>
  <c r="AG97" i="1"/>
  <c r="AH97" i="1"/>
  <c r="AG200" i="1"/>
  <c r="AH200" i="1"/>
  <c r="AG201" i="1" l="1"/>
  <c r="AG40" i="1"/>
  <c r="AI93" i="1"/>
  <c r="AH55" i="1"/>
  <c r="AI36" i="1"/>
  <c r="AI32" i="1"/>
  <c r="AI51" i="1"/>
  <c r="AI47" i="1"/>
  <c r="AI66" i="1"/>
  <c r="AH85" i="1"/>
  <c r="AH24" i="1"/>
  <c r="AH69" i="1"/>
  <c r="AI20" i="1"/>
  <c r="AG24" i="1"/>
  <c r="AI81" i="1"/>
  <c r="AI97" i="1"/>
  <c r="AH100" i="1"/>
  <c r="AG100" i="1"/>
  <c r="AH201" i="1"/>
  <c r="AH211" i="1" s="1"/>
  <c r="AI187" i="1"/>
  <c r="AG212" i="1"/>
  <c r="AI77" i="1"/>
  <c r="AG85" i="1"/>
  <c r="AI62" i="1"/>
  <c r="AG69" i="1"/>
  <c r="AG55" i="1"/>
  <c r="AH40" i="1"/>
  <c r="AI16" i="1"/>
  <c r="AI40" i="1" l="1"/>
  <c r="AI85" i="1"/>
  <c r="AH212" i="1"/>
  <c r="AI212" i="1" s="1"/>
  <c r="AI201" i="1"/>
  <c r="AI100" i="1"/>
  <c r="AH102" i="1"/>
  <c r="AH103" i="1" s="1"/>
  <c r="AH203" i="1" s="1"/>
  <c r="AI24" i="1"/>
  <c r="AI69" i="1"/>
  <c r="AI55" i="1"/>
  <c r="AI56" i="1" s="1"/>
  <c r="AG102" i="1"/>
  <c r="AD200" i="1"/>
  <c r="AD201" i="1" s="1"/>
  <c r="AD97" i="1"/>
  <c r="AD93" i="1"/>
  <c r="AD254" i="1" s="1"/>
  <c r="AD81" i="1"/>
  <c r="AD66" i="1"/>
  <c r="AD62" i="1"/>
  <c r="AD51" i="1"/>
  <c r="AD55" i="1" s="1"/>
  <c r="AD36" i="1"/>
  <c r="AD32" i="1"/>
  <c r="AD20" i="1"/>
  <c r="AD16" i="1"/>
  <c r="AH258" i="1" l="1"/>
  <c r="AD24" i="1"/>
  <c r="AD85" i="1"/>
  <c r="AD69" i="1"/>
  <c r="AI211" i="1"/>
  <c r="AD40" i="1"/>
  <c r="AD212" i="1"/>
  <c r="AD100" i="1"/>
  <c r="AG103" i="1"/>
  <c r="AG203" i="1" s="1"/>
  <c r="AG254" i="1" s="1"/>
  <c r="AI102" i="1"/>
  <c r="AI252" i="1" l="1"/>
  <c r="AH254" i="1"/>
  <c r="AI254" i="1" s="1"/>
  <c r="AD102" i="1"/>
  <c r="AD103" i="1" s="1"/>
  <c r="AD203" i="1" s="1"/>
  <c r="AI103" i="1"/>
  <c r="AG258" i="1"/>
  <c r="D210" i="1"/>
  <c r="C210" i="1"/>
  <c r="D209" i="1"/>
  <c r="C209" i="1"/>
  <c r="AD258" i="1" l="1"/>
  <c r="AI203" i="1"/>
  <c r="E209" i="1"/>
  <c r="E210" i="1"/>
  <c r="AE97" i="1"/>
  <c r="AE66" i="1"/>
  <c r="AE51" i="1"/>
  <c r="AE36" i="1"/>
  <c r="AE20" i="1"/>
  <c r="AE16" i="1"/>
  <c r="AE200" i="1"/>
  <c r="AE24" i="1" l="1"/>
  <c r="AE201" i="1"/>
  <c r="AB75" i="1"/>
  <c r="AB83" i="1" s="1"/>
  <c r="AB74" i="1"/>
  <c r="AB82" i="1" s="1"/>
  <c r="AA75" i="1"/>
  <c r="AA83" i="1" s="1"/>
  <c r="AA74" i="1"/>
  <c r="AA82" i="1" s="1"/>
  <c r="AB61" i="1"/>
  <c r="AB68" i="1" s="1"/>
  <c r="AC68" i="1" s="1"/>
  <c r="AA61" i="1"/>
  <c r="AA68" i="1" s="1"/>
  <c r="AB60" i="1"/>
  <c r="AB67" i="1" s="1"/>
  <c r="AA60" i="1"/>
  <c r="AA67" i="1" s="1"/>
  <c r="AB45" i="1"/>
  <c r="AB53" i="1" s="1"/>
  <c r="AB44" i="1"/>
  <c r="AB52" i="1" s="1"/>
  <c r="AA45" i="1"/>
  <c r="AA53" i="1" s="1"/>
  <c r="AA44" i="1"/>
  <c r="AA52" i="1" s="1"/>
  <c r="AB14" i="1"/>
  <c r="AB23" i="1" s="1"/>
  <c r="AC23" i="1" s="1"/>
  <c r="AB13" i="1"/>
  <c r="AB22" i="1" s="1"/>
  <c r="AA14" i="1"/>
  <c r="AA23" i="1" s="1"/>
  <c r="AA13" i="1"/>
  <c r="AA22" i="1" s="1"/>
  <c r="AB30" i="1"/>
  <c r="AB39" i="1" s="1"/>
  <c r="AA30" i="1"/>
  <c r="AA39" i="1" s="1"/>
  <c r="AB182" i="1"/>
  <c r="AA182" i="1"/>
  <c r="AB181" i="1"/>
  <c r="AA181" i="1"/>
  <c r="AB91" i="1"/>
  <c r="AB98" i="1" s="1"/>
  <c r="AA91" i="1"/>
  <c r="AA98" i="1" s="1"/>
  <c r="AB90" i="1"/>
  <c r="AA90" i="1"/>
  <c r="AC82" i="1" l="1"/>
  <c r="AC83" i="1"/>
  <c r="AC98" i="1"/>
  <c r="AC67" i="1"/>
  <c r="AC52" i="1"/>
  <c r="AC53" i="1"/>
  <c r="AC39" i="1"/>
  <c r="AC22" i="1"/>
  <c r="AE211" i="1"/>
  <c r="AE212" i="1" s="1"/>
  <c r="AF212" i="1" s="1"/>
  <c r="AF201" i="1"/>
  <c r="AA209" i="1"/>
  <c r="AA210" i="1"/>
  <c r="AB209" i="1"/>
  <c r="AB210" i="1"/>
  <c r="Y182" i="1"/>
  <c r="X182" i="1"/>
  <c r="Y181" i="1"/>
  <c r="X181" i="1"/>
  <c r="Y75" i="1"/>
  <c r="Y83" i="1" s="1"/>
  <c r="X75" i="1"/>
  <c r="X83" i="1" s="1"/>
  <c r="Y61" i="1"/>
  <c r="Y68" i="1" s="1"/>
  <c r="X61" i="1"/>
  <c r="X68" i="1" s="1"/>
  <c r="Y45" i="1"/>
  <c r="Y53" i="1" s="1"/>
  <c r="Y44" i="1"/>
  <c r="Y52" i="1" s="1"/>
  <c r="X45" i="1"/>
  <c r="X53" i="1" s="1"/>
  <c r="X44" i="1"/>
  <c r="X52" i="1" s="1"/>
  <c r="Y14" i="1"/>
  <c r="Y23" i="1" s="1"/>
  <c r="Y13" i="1"/>
  <c r="X14" i="1"/>
  <c r="X23" i="1" s="1"/>
  <c r="X13" i="1"/>
  <c r="Y91" i="1"/>
  <c r="Y98" i="1" s="1"/>
  <c r="Z98" i="1" s="1"/>
  <c r="X91" i="1"/>
  <c r="X98" i="1" s="1"/>
  <c r="Z83" i="1" l="1"/>
  <c r="Z68" i="1"/>
  <c r="AF211" i="1"/>
  <c r="Z53" i="1"/>
  <c r="Z52" i="1"/>
  <c r="Y209" i="1"/>
  <c r="Y22" i="1"/>
  <c r="Z23" i="1"/>
  <c r="X209" i="1"/>
  <c r="X22" i="1"/>
  <c r="Z181" i="1"/>
  <c r="AC210" i="1"/>
  <c r="AC209" i="1"/>
  <c r="X210" i="1"/>
  <c r="Y210" i="1"/>
  <c r="Z209" i="1" l="1"/>
  <c r="Z22" i="1"/>
  <c r="Z210" i="1"/>
  <c r="U61" i="1"/>
  <c r="V75" i="1"/>
  <c r="U75" i="1"/>
  <c r="V45" i="1"/>
  <c r="V44" i="1"/>
  <c r="U45" i="1"/>
  <c r="U44" i="1"/>
  <c r="V14" i="1"/>
  <c r="V13" i="1"/>
  <c r="V209" i="1" s="1"/>
  <c r="U14" i="1"/>
  <c r="U13" i="1"/>
  <c r="V91" i="1"/>
  <c r="U91" i="1"/>
  <c r="U209" i="1" l="1"/>
  <c r="W209" i="1" s="1"/>
  <c r="U210" i="1"/>
  <c r="V210" i="1"/>
  <c r="S74" i="1"/>
  <c r="R74" i="1"/>
  <c r="R60" i="1"/>
  <c r="S90" i="1"/>
  <c r="R90" i="1"/>
  <c r="R44" i="1"/>
  <c r="R13" i="1"/>
  <c r="S44" i="1"/>
  <c r="S13" i="1"/>
  <c r="S91" i="1"/>
  <c r="R91" i="1"/>
  <c r="S75" i="1"/>
  <c r="R75" i="1"/>
  <c r="S61" i="1"/>
  <c r="R61" i="1"/>
  <c r="S45" i="1"/>
  <c r="R45" i="1"/>
  <c r="S14" i="1"/>
  <c r="R14" i="1"/>
  <c r="R209" i="1" l="1"/>
  <c r="R210" i="1"/>
  <c r="S209" i="1"/>
  <c r="S210" i="1"/>
  <c r="W210" i="1"/>
  <c r="R181" i="1"/>
  <c r="R177" i="1"/>
  <c r="S16" i="1"/>
  <c r="R16" i="1"/>
  <c r="R200" i="1"/>
  <c r="S181" i="1"/>
  <c r="S177" i="1"/>
  <c r="T210" i="1" l="1"/>
  <c r="T209" i="1"/>
  <c r="P181" i="1"/>
  <c r="P180" i="1"/>
  <c r="O181" i="1"/>
  <c r="O180" i="1"/>
  <c r="P177" i="1"/>
  <c r="O177" i="1"/>
  <c r="P91" i="1"/>
  <c r="O91" i="1"/>
  <c r="O90" i="1"/>
  <c r="P75" i="1"/>
  <c r="O75" i="1"/>
  <c r="O74" i="1"/>
  <c r="P45" i="1"/>
  <c r="P44" i="1"/>
  <c r="O45" i="1"/>
  <c r="O44" i="1"/>
  <c r="O13" i="1"/>
  <c r="P14" i="1"/>
  <c r="P13" i="1"/>
  <c r="O14" i="1"/>
  <c r="AB200" i="1"/>
  <c r="AA200" i="1"/>
  <c r="X200" i="1"/>
  <c r="U200" i="1"/>
  <c r="S200" i="1"/>
  <c r="P200" i="1"/>
  <c r="O200" i="1"/>
  <c r="M200" i="1"/>
  <c r="L200" i="1"/>
  <c r="J200" i="1"/>
  <c r="I200" i="1"/>
  <c r="G200" i="1"/>
  <c r="F200" i="1"/>
  <c r="D200" i="1"/>
  <c r="C200" i="1"/>
  <c r="AB187" i="1"/>
  <c r="AA187" i="1"/>
  <c r="U187" i="1"/>
  <c r="S187" i="1"/>
  <c r="R187" i="1"/>
  <c r="L187" i="1"/>
  <c r="J187" i="1"/>
  <c r="I187" i="1"/>
  <c r="G187" i="1"/>
  <c r="F187" i="1"/>
  <c r="D187" i="1"/>
  <c r="C187" i="1"/>
  <c r="M187" i="1"/>
  <c r="AC197" i="1"/>
  <c r="AC196" i="1"/>
  <c r="T196" i="1"/>
  <c r="Q196" i="1"/>
  <c r="Z195" i="1"/>
  <c r="W195" i="1"/>
  <c r="T195" i="1"/>
  <c r="Q195" i="1"/>
  <c r="Y191" i="1"/>
  <c r="Y200" i="1" s="1"/>
  <c r="Z200" i="1" s="1"/>
  <c r="V191" i="1"/>
  <c r="V200" i="1" s="1"/>
  <c r="T191" i="1"/>
  <c r="Q191" i="1"/>
  <c r="AC187" i="1" l="1"/>
  <c r="AC200" i="1"/>
  <c r="O210" i="1"/>
  <c r="P209" i="1"/>
  <c r="D201" i="1"/>
  <c r="D211" i="1" s="1"/>
  <c r="D212" i="1" s="1"/>
  <c r="P210" i="1"/>
  <c r="O209" i="1"/>
  <c r="C201" i="1"/>
  <c r="C211" i="1" s="1"/>
  <c r="F201" i="1"/>
  <c r="F211" i="1" s="1"/>
  <c r="G201" i="1"/>
  <c r="G211" i="1" s="1"/>
  <c r="I201" i="1"/>
  <c r="I211" i="1" s="1"/>
  <c r="J201" i="1"/>
  <c r="J211" i="1" s="1"/>
  <c r="L201" i="1"/>
  <c r="L211" i="1" s="1"/>
  <c r="M201" i="1"/>
  <c r="M211" i="1" s="1"/>
  <c r="U201" i="1"/>
  <c r="O187" i="1"/>
  <c r="O201" i="1" s="1"/>
  <c r="O211" i="1" s="1"/>
  <c r="P187" i="1"/>
  <c r="P201" i="1" s="1"/>
  <c r="P211" i="1" s="1"/>
  <c r="AB201" i="1"/>
  <c r="AB211" i="1" s="1"/>
  <c r="AA201" i="1"/>
  <c r="AA211" i="1" s="1"/>
  <c r="S201" i="1"/>
  <c r="R201" i="1"/>
  <c r="Z197" i="1"/>
  <c r="Q210" i="1" l="1"/>
  <c r="Q209" i="1"/>
  <c r="O212" i="1"/>
  <c r="N211" i="1"/>
  <c r="K211" i="1"/>
  <c r="H211" i="1"/>
  <c r="Q211" i="1"/>
  <c r="P212" i="1"/>
  <c r="AA212" i="1"/>
  <c r="AC211" i="1"/>
  <c r="AB212" i="1"/>
  <c r="C212" i="1"/>
  <c r="E212" i="1" s="1"/>
  <c r="E211" i="1"/>
  <c r="M91" i="1"/>
  <c r="L91" i="1"/>
  <c r="L90" i="1"/>
  <c r="M75" i="1"/>
  <c r="M74" i="1"/>
  <c r="L75" i="1"/>
  <c r="L74" i="1"/>
  <c r="M45" i="1"/>
  <c r="L45" i="1"/>
  <c r="M14" i="1"/>
  <c r="L14" i="1"/>
  <c r="M49" i="1"/>
  <c r="M44" i="1" s="1"/>
  <c r="L49" i="1"/>
  <c r="L44" i="1" s="1"/>
  <c r="M18" i="1"/>
  <c r="M13" i="1" s="1"/>
  <c r="L18" i="1"/>
  <c r="L13" i="1" s="1"/>
  <c r="Q212" i="1" l="1"/>
  <c r="M210" i="1"/>
  <c r="M209" i="1"/>
  <c r="L209" i="1"/>
  <c r="L210" i="1"/>
  <c r="AC212" i="1"/>
  <c r="J91" i="1"/>
  <c r="I91" i="1"/>
  <c r="J75" i="1"/>
  <c r="I75" i="1"/>
  <c r="J45" i="1"/>
  <c r="I45" i="1"/>
  <c r="J14" i="1"/>
  <c r="J13" i="1"/>
  <c r="I14" i="1"/>
  <c r="I13" i="1"/>
  <c r="J49" i="1"/>
  <c r="J44" i="1" s="1"/>
  <c r="I49" i="1"/>
  <c r="I44" i="1" s="1"/>
  <c r="M212" i="1" l="1"/>
  <c r="N210" i="1"/>
  <c r="N209" i="1"/>
  <c r="J210" i="1"/>
  <c r="I210" i="1"/>
  <c r="L212" i="1"/>
  <c r="I209" i="1"/>
  <c r="J209" i="1"/>
  <c r="G91" i="1"/>
  <c r="G93" i="1" s="1"/>
  <c r="G251" i="1" s="1"/>
  <c r="F91" i="1"/>
  <c r="G75" i="1"/>
  <c r="G77" i="1" s="1"/>
  <c r="F75" i="1"/>
  <c r="F77" i="1" s="1"/>
  <c r="G45" i="1"/>
  <c r="F45" i="1"/>
  <c r="G13" i="1"/>
  <c r="G16" i="1" s="1"/>
  <c r="F13" i="1"/>
  <c r="G49" i="1"/>
  <c r="G51" i="1" s="1"/>
  <c r="F49" i="1"/>
  <c r="F44" i="1" s="1"/>
  <c r="AB97" i="1"/>
  <c r="AA97" i="1"/>
  <c r="Y97" i="1"/>
  <c r="X97" i="1"/>
  <c r="V97" i="1"/>
  <c r="U97" i="1"/>
  <c r="S97" i="1"/>
  <c r="R97" i="1"/>
  <c r="P97" i="1"/>
  <c r="O97" i="1"/>
  <c r="M97" i="1"/>
  <c r="L97" i="1"/>
  <c r="J97" i="1"/>
  <c r="I97" i="1"/>
  <c r="G97" i="1"/>
  <c r="F97" i="1"/>
  <c r="D97" i="1"/>
  <c r="C97" i="1"/>
  <c r="AF96" i="1"/>
  <c r="AC96" i="1"/>
  <c r="Z96" i="1"/>
  <c r="W96" i="1"/>
  <c r="T96" i="1"/>
  <c r="Q96" i="1"/>
  <c r="N96" i="1"/>
  <c r="K96" i="1"/>
  <c r="H96" i="1"/>
  <c r="E96" i="1"/>
  <c r="AF95" i="1"/>
  <c r="AC95" i="1"/>
  <c r="Z95" i="1"/>
  <c r="W95" i="1"/>
  <c r="T95" i="1"/>
  <c r="Q95" i="1"/>
  <c r="N95" i="1"/>
  <c r="K95" i="1"/>
  <c r="H95" i="1"/>
  <c r="E95" i="1"/>
  <c r="AE93" i="1"/>
  <c r="AB93" i="1"/>
  <c r="AA93" i="1"/>
  <c r="AA254" i="1" s="1"/>
  <c r="V93" i="1"/>
  <c r="V251" i="1" s="1"/>
  <c r="U93" i="1"/>
  <c r="U251" i="1" s="1"/>
  <c r="U254" i="1" s="1"/>
  <c r="S93" i="1"/>
  <c r="S251" i="1" s="1"/>
  <c r="R93" i="1"/>
  <c r="R251" i="1" s="1"/>
  <c r="R254" i="1" s="1"/>
  <c r="P93" i="1"/>
  <c r="P251" i="1" s="1"/>
  <c r="O93" i="1"/>
  <c r="O251" i="1" s="1"/>
  <c r="O254" i="1" s="1"/>
  <c r="M93" i="1"/>
  <c r="M251" i="1" s="1"/>
  <c r="L93" i="1"/>
  <c r="L251" i="1" s="1"/>
  <c r="L254" i="1" s="1"/>
  <c r="J93" i="1"/>
  <c r="J251" i="1" s="1"/>
  <c r="I93" i="1"/>
  <c r="I251" i="1" s="1"/>
  <c r="I254" i="1" s="1"/>
  <c r="F93" i="1"/>
  <c r="F251" i="1" s="1"/>
  <c r="F254" i="1" s="1"/>
  <c r="D93" i="1"/>
  <c r="C93" i="1"/>
  <c r="AB81" i="1"/>
  <c r="AA81" i="1"/>
  <c r="Y81" i="1"/>
  <c r="X81" i="1"/>
  <c r="V81" i="1"/>
  <c r="U81" i="1"/>
  <c r="S81" i="1"/>
  <c r="R81" i="1"/>
  <c r="P81" i="1"/>
  <c r="O81" i="1"/>
  <c r="M81" i="1"/>
  <c r="L81" i="1"/>
  <c r="J81" i="1"/>
  <c r="I81" i="1"/>
  <c r="G81" i="1"/>
  <c r="F81" i="1"/>
  <c r="D81" i="1"/>
  <c r="C81" i="1"/>
  <c r="AF80" i="1"/>
  <c r="AC80" i="1"/>
  <c r="Z80" i="1"/>
  <c r="W80" i="1"/>
  <c r="T80" i="1"/>
  <c r="Q80" i="1"/>
  <c r="N80" i="1"/>
  <c r="K80" i="1"/>
  <c r="H80" i="1"/>
  <c r="E80" i="1"/>
  <c r="AF79" i="1"/>
  <c r="AC79" i="1"/>
  <c r="Z79" i="1"/>
  <c r="W79" i="1"/>
  <c r="T79" i="1"/>
  <c r="Q79" i="1"/>
  <c r="N79" i="1"/>
  <c r="K79" i="1"/>
  <c r="H79" i="1"/>
  <c r="E79" i="1"/>
  <c r="AE77" i="1"/>
  <c r="AE85" i="1" s="1"/>
  <c r="AB77" i="1"/>
  <c r="AA77" i="1"/>
  <c r="V77" i="1"/>
  <c r="U77" i="1"/>
  <c r="S77" i="1"/>
  <c r="R77" i="1"/>
  <c r="P77" i="1"/>
  <c r="O77" i="1"/>
  <c r="M77" i="1"/>
  <c r="L77" i="1"/>
  <c r="J77" i="1"/>
  <c r="I77" i="1"/>
  <c r="D77" i="1"/>
  <c r="C77" i="1"/>
  <c r="AB66" i="1"/>
  <c r="AA66" i="1"/>
  <c r="Y66" i="1"/>
  <c r="X66" i="1"/>
  <c r="V66" i="1"/>
  <c r="U66" i="1"/>
  <c r="S66" i="1"/>
  <c r="R66" i="1"/>
  <c r="P66" i="1"/>
  <c r="O66" i="1"/>
  <c r="M66" i="1"/>
  <c r="L66" i="1"/>
  <c r="J66" i="1"/>
  <c r="I66" i="1"/>
  <c r="G66" i="1"/>
  <c r="F66" i="1"/>
  <c r="D66" i="1"/>
  <c r="C66" i="1"/>
  <c r="AF65" i="1"/>
  <c r="AC65" i="1"/>
  <c r="Z65" i="1"/>
  <c r="W65" i="1"/>
  <c r="T65" i="1"/>
  <c r="Q65" i="1"/>
  <c r="N65" i="1"/>
  <c r="K65" i="1"/>
  <c r="H65" i="1"/>
  <c r="E65" i="1"/>
  <c r="AF64" i="1"/>
  <c r="AC64" i="1"/>
  <c r="Z64" i="1"/>
  <c r="W64" i="1"/>
  <c r="T64" i="1"/>
  <c r="Q64" i="1"/>
  <c r="N64" i="1"/>
  <c r="K64" i="1"/>
  <c r="H64" i="1"/>
  <c r="E64" i="1"/>
  <c r="AE62" i="1"/>
  <c r="AE69" i="1" s="1"/>
  <c r="AB62" i="1"/>
  <c r="AA62" i="1"/>
  <c r="V62" i="1"/>
  <c r="U62" i="1"/>
  <c r="S62" i="1"/>
  <c r="R62" i="1"/>
  <c r="P62" i="1"/>
  <c r="O62" i="1"/>
  <c r="M62" i="1"/>
  <c r="L62" i="1"/>
  <c r="J62" i="1"/>
  <c r="I62" i="1"/>
  <c r="G62" i="1"/>
  <c r="F62" i="1"/>
  <c r="D62" i="1"/>
  <c r="C62" i="1"/>
  <c r="AB51" i="1"/>
  <c r="AA51" i="1"/>
  <c r="Y51" i="1"/>
  <c r="X51" i="1"/>
  <c r="V51" i="1"/>
  <c r="U51" i="1"/>
  <c r="S51" i="1"/>
  <c r="R51" i="1"/>
  <c r="P51" i="1"/>
  <c r="O51" i="1"/>
  <c r="M51" i="1"/>
  <c r="L51" i="1"/>
  <c r="J51" i="1"/>
  <c r="I51" i="1"/>
  <c r="D51" i="1"/>
  <c r="C51" i="1"/>
  <c r="AF50" i="1"/>
  <c r="AC50" i="1"/>
  <c r="Z50" i="1"/>
  <c r="W50" i="1"/>
  <c r="T50" i="1"/>
  <c r="Q50" i="1"/>
  <c r="N50" i="1"/>
  <c r="K50" i="1"/>
  <c r="H50" i="1"/>
  <c r="E50" i="1"/>
  <c r="AF49" i="1"/>
  <c r="AC49" i="1"/>
  <c r="Z49" i="1"/>
  <c r="W49" i="1"/>
  <c r="T49" i="1"/>
  <c r="Q49" i="1"/>
  <c r="N49" i="1"/>
  <c r="K49" i="1"/>
  <c r="E49" i="1"/>
  <c r="AE55" i="1"/>
  <c r="AB47" i="1"/>
  <c r="AA47" i="1"/>
  <c r="S47" i="1"/>
  <c r="R47" i="1"/>
  <c r="P47" i="1"/>
  <c r="O47" i="1"/>
  <c r="D47" i="1"/>
  <c r="C47" i="1"/>
  <c r="C55" i="1" s="1"/>
  <c r="AE32" i="1"/>
  <c r="AE40" i="1" s="1"/>
  <c r="AB32" i="1"/>
  <c r="AA32" i="1"/>
  <c r="Y32" i="1"/>
  <c r="X32" i="1"/>
  <c r="V32" i="1"/>
  <c r="U32" i="1"/>
  <c r="U211" i="1" s="1"/>
  <c r="U212" i="1" s="1"/>
  <c r="S32" i="1"/>
  <c r="S211" i="1" s="1"/>
  <c r="R32" i="1"/>
  <c r="R211" i="1" s="1"/>
  <c r="R212" i="1" s="1"/>
  <c r="P32" i="1"/>
  <c r="O32" i="1"/>
  <c r="M32" i="1"/>
  <c r="L32" i="1"/>
  <c r="J32" i="1"/>
  <c r="I32" i="1"/>
  <c r="G32" i="1"/>
  <c r="F32" i="1"/>
  <c r="D32" i="1"/>
  <c r="C32" i="1"/>
  <c r="AF37" i="1"/>
  <c r="AC37" i="1"/>
  <c r="AB36" i="1"/>
  <c r="AA36" i="1"/>
  <c r="Y36" i="1"/>
  <c r="Y40" i="1" s="1"/>
  <c r="X36" i="1"/>
  <c r="V36" i="1"/>
  <c r="U36" i="1"/>
  <c r="S36" i="1"/>
  <c r="R36" i="1"/>
  <c r="P36" i="1"/>
  <c r="P40" i="1" s="1"/>
  <c r="O36" i="1"/>
  <c r="M36" i="1"/>
  <c r="M40" i="1" s="1"/>
  <c r="L36" i="1"/>
  <c r="J36" i="1"/>
  <c r="I36" i="1"/>
  <c r="G36" i="1"/>
  <c r="F36" i="1"/>
  <c r="F40" i="1" s="1"/>
  <c r="D36" i="1"/>
  <c r="C36" i="1"/>
  <c r="AB20" i="1"/>
  <c r="AA20" i="1"/>
  <c r="Y20" i="1"/>
  <c r="X20" i="1"/>
  <c r="V20" i="1"/>
  <c r="U20" i="1"/>
  <c r="S20" i="1"/>
  <c r="R20" i="1"/>
  <c r="P20" i="1"/>
  <c r="O20" i="1"/>
  <c r="M20" i="1"/>
  <c r="L20" i="1"/>
  <c r="J20" i="1"/>
  <c r="I20" i="1"/>
  <c r="G20" i="1"/>
  <c r="F20" i="1"/>
  <c r="D20" i="1"/>
  <c r="AF35" i="1"/>
  <c r="AC35" i="1"/>
  <c r="N35" i="1"/>
  <c r="K35" i="1"/>
  <c r="H35" i="1"/>
  <c r="E35" i="1"/>
  <c r="N34" i="1"/>
  <c r="K34" i="1"/>
  <c r="H34" i="1"/>
  <c r="E34" i="1"/>
  <c r="AF30" i="1"/>
  <c r="AC30" i="1"/>
  <c r="N30" i="1"/>
  <c r="K30" i="1"/>
  <c r="H30" i="1"/>
  <c r="E30" i="1"/>
  <c r="AF29" i="1"/>
  <c r="N29" i="1"/>
  <c r="K29" i="1"/>
  <c r="H29" i="1"/>
  <c r="E29" i="1"/>
  <c r="AB16" i="1"/>
  <c r="AA16" i="1"/>
  <c r="P16" i="1"/>
  <c r="O16" i="1"/>
  <c r="D16" i="1"/>
  <c r="C16" i="1"/>
  <c r="AF14" i="1"/>
  <c r="AC14" i="1"/>
  <c r="W14" i="1"/>
  <c r="T14" i="1"/>
  <c r="Q14" i="1"/>
  <c r="N14" i="1"/>
  <c r="K14" i="1"/>
  <c r="F14" i="1"/>
  <c r="H14" i="1" s="1"/>
  <c r="E14" i="1"/>
  <c r="AF13" i="1"/>
  <c r="AC13" i="1"/>
  <c r="U16" i="1"/>
  <c r="T13" i="1"/>
  <c r="Q13" i="1"/>
  <c r="M16" i="1"/>
  <c r="L16" i="1"/>
  <c r="I16" i="1"/>
  <c r="E13" i="1"/>
  <c r="C100" i="1" l="1"/>
  <c r="C251" i="1"/>
  <c r="C254" i="1" s="1"/>
  <c r="K251" i="1"/>
  <c r="J254" i="1"/>
  <c r="K254" i="1" s="1"/>
  <c r="P254" i="1"/>
  <c r="Q254" i="1" s="1"/>
  <c r="Q251" i="1"/>
  <c r="V254" i="1"/>
  <c r="W254" i="1" s="1"/>
  <c r="W251" i="1"/>
  <c r="D100" i="1"/>
  <c r="E100" i="1" s="1"/>
  <c r="D251" i="1"/>
  <c r="M254" i="1"/>
  <c r="N254" i="1" s="1"/>
  <c r="N251" i="1"/>
  <c r="S254" i="1"/>
  <c r="T254" i="1" s="1"/>
  <c r="T251" i="1"/>
  <c r="AB254" i="1"/>
  <c r="AE100" i="1"/>
  <c r="AE102" i="1" s="1"/>
  <c r="AE103" i="1" s="1"/>
  <c r="AE203" i="1" s="1"/>
  <c r="G254" i="1"/>
  <c r="H254" i="1" s="1"/>
  <c r="H251" i="1"/>
  <c r="C69" i="1"/>
  <c r="O69" i="1"/>
  <c r="N212" i="1"/>
  <c r="AB100" i="1"/>
  <c r="K210" i="1"/>
  <c r="G69" i="1"/>
  <c r="L85" i="1"/>
  <c r="R85" i="1"/>
  <c r="I100" i="1"/>
  <c r="I212" i="1"/>
  <c r="U69" i="1"/>
  <c r="E51" i="1"/>
  <c r="G210" i="1"/>
  <c r="H32" i="1"/>
  <c r="N32" i="1"/>
  <c r="F69" i="1"/>
  <c r="L69" i="1"/>
  <c r="P85" i="1"/>
  <c r="V85" i="1"/>
  <c r="F51" i="1"/>
  <c r="H51" i="1" s="1"/>
  <c r="D85" i="1"/>
  <c r="D69" i="1"/>
  <c r="U85" i="1"/>
  <c r="L100" i="1"/>
  <c r="AC77" i="1"/>
  <c r="T32" i="1"/>
  <c r="F210" i="1"/>
  <c r="T211" i="1"/>
  <c r="S212" i="1"/>
  <c r="T212" i="1" s="1"/>
  <c r="F209" i="1"/>
  <c r="J212" i="1"/>
  <c r="K209" i="1"/>
  <c r="AF16" i="1"/>
  <c r="K36" i="1"/>
  <c r="K37" i="1" s="1"/>
  <c r="AF47" i="1"/>
  <c r="K62" i="1"/>
  <c r="N62" i="1"/>
  <c r="M69" i="1"/>
  <c r="E66" i="1"/>
  <c r="H66" i="1"/>
  <c r="K66" i="1"/>
  <c r="N66" i="1"/>
  <c r="Q66" i="1"/>
  <c r="Z66" i="1"/>
  <c r="E77" i="1"/>
  <c r="C85" i="1"/>
  <c r="AF77" i="1"/>
  <c r="E81" i="1"/>
  <c r="E97" i="1"/>
  <c r="H97" i="1"/>
  <c r="Z97" i="1"/>
  <c r="AC97" i="1"/>
  <c r="H49" i="1"/>
  <c r="G44" i="1"/>
  <c r="G209" i="1" s="1"/>
  <c r="G100" i="1"/>
  <c r="AF66" i="1"/>
  <c r="AF81" i="1"/>
  <c r="AF36" i="1"/>
  <c r="AA85" i="1"/>
  <c r="AC62" i="1"/>
  <c r="AA69" i="1"/>
  <c r="AC47" i="1"/>
  <c r="AC66" i="1"/>
  <c r="AC81" i="1"/>
  <c r="AB24" i="1"/>
  <c r="AA24" i="1"/>
  <c r="AA100" i="1"/>
  <c r="AC32" i="1"/>
  <c r="Z51" i="1"/>
  <c r="W62" i="1"/>
  <c r="W66" i="1"/>
  <c r="W77" i="1"/>
  <c r="W51" i="1"/>
  <c r="W93" i="1"/>
  <c r="W97" i="1"/>
  <c r="U100" i="1"/>
  <c r="T93" i="1"/>
  <c r="S85" i="1"/>
  <c r="R69" i="1"/>
  <c r="S69" i="1"/>
  <c r="T66" i="1"/>
  <c r="R100" i="1"/>
  <c r="T97" i="1"/>
  <c r="P100" i="1"/>
  <c r="Q93" i="1"/>
  <c r="P55" i="1"/>
  <c r="Q97" i="1"/>
  <c r="Q81" i="1"/>
  <c r="O85" i="1"/>
  <c r="O24" i="1"/>
  <c r="N93" i="1"/>
  <c r="M85" i="1"/>
  <c r="L24" i="1"/>
  <c r="N97" i="1"/>
  <c r="N51" i="1"/>
  <c r="M24" i="1"/>
  <c r="K93" i="1"/>
  <c r="K77" i="1"/>
  <c r="I85" i="1"/>
  <c r="K97" i="1"/>
  <c r="J85" i="1"/>
  <c r="F100" i="1"/>
  <c r="H77" i="1"/>
  <c r="F85" i="1"/>
  <c r="G24" i="1"/>
  <c r="AB85" i="1"/>
  <c r="J100" i="1"/>
  <c r="D24" i="1"/>
  <c r="I24" i="1"/>
  <c r="S24" i="1"/>
  <c r="H36" i="1"/>
  <c r="H37" i="1" s="1"/>
  <c r="K32" i="1"/>
  <c r="E47" i="1"/>
  <c r="D55" i="1"/>
  <c r="E55" i="1" s="1"/>
  <c r="T51" i="1"/>
  <c r="N77" i="1"/>
  <c r="T77" i="1"/>
  <c r="H81" i="1"/>
  <c r="N81" i="1"/>
  <c r="AF97" i="1"/>
  <c r="V100" i="1"/>
  <c r="R24" i="1"/>
  <c r="F16" i="1"/>
  <c r="F24" i="1" s="1"/>
  <c r="U24" i="1"/>
  <c r="I40" i="1"/>
  <c r="T37" i="1"/>
  <c r="AF32" i="1"/>
  <c r="Q51" i="1"/>
  <c r="AA55" i="1"/>
  <c r="I69" i="1"/>
  <c r="V69" i="1"/>
  <c r="W69" i="1" s="1"/>
  <c r="Q77" i="1"/>
  <c r="K81" i="1"/>
  <c r="T81" i="1"/>
  <c r="Z81" i="1"/>
  <c r="H93" i="1"/>
  <c r="AF93" i="1"/>
  <c r="M100" i="1"/>
  <c r="S100" i="1"/>
  <c r="K13" i="1"/>
  <c r="Q16" i="1"/>
  <c r="AC16" i="1"/>
  <c r="P24" i="1"/>
  <c r="O40" i="1"/>
  <c r="U40" i="1"/>
  <c r="J69" i="1"/>
  <c r="K69" i="1" s="1"/>
  <c r="W81" i="1"/>
  <c r="G85" i="1"/>
  <c r="E93" i="1"/>
  <c r="AC93" i="1"/>
  <c r="O100" i="1"/>
  <c r="H62" i="1"/>
  <c r="Q62" i="1"/>
  <c r="AF62" i="1"/>
  <c r="AB69" i="1"/>
  <c r="E62" i="1"/>
  <c r="T62" i="1"/>
  <c r="P69" i="1"/>
  <c r="Q69" i="1" s="1"/>
  <c r="T47" i="1"/>
  <c r="R55" i="1"/>
  <c r="AF55" i="1"/>
  <c r="Q47" i="1"/>
  <c r="O55" i="1"/>
  <c r="S55" i="1"/>
  <c r="AB55" i="1"/>
  <c r="AF51" i="1"/>
  <c r="AC51" i="1"/>
  <c r="K51" i="1"/>
  <c r="AA40" i="1"/>
  <c r="AB40" i="1"/>
  <c r="X40" i="1"/>
  <c r="V40" i="1"/>
  <c r="R40" i="1"/>
  <c r="L40" i="1"/>
  <c r="N40" i="1" s="1"/>
  <c r="J40" i="1"/>
  <c r="D40" i="1"/>
  <c r="C40" i="1"/>
  <c r="E32" i="1"/>
  <c r="E36" i="1"/>
  <c r="E37" i="1" s="1"/>
  <c r="AC36" i="1"/>
  <c r="N36" i="1"/>
  <c r="N37" i="1" s="1"/>
  <c r="G40" i="1"/>
  <c r="H40" i="1" s="1"/>
  <c r="S40" i="1"/>
  <c r="AF40" i="1"/>
  <c r="H13" i="1"/>
  <c r="W13" i="1"/>
  <c r="J16" i="1"/>
  <c r="J24" i="1" s="1"/>
  <c r="T16" i="1"/>
  <c r="E16" i="1"/>
  <c r="V16" i="1"/>
  <c r="V24" i="1" s="1"/>
  <c r="X16" i="1"/>
  <c r="X24" i="1" s="1"/>
  <c r="Z14" i="1"/>
  <c r="Z13" i="1"/>
  <c r="N16" i="1"/>
  <c r="N13" i="1"/>
  <c r="Y16" i="1"/>
  <c r="Y24" i="1" s="1"/>
  <c r="N100" i="1" l="1"/>
  <c r="T85" i="1"/>
  <c r="AE254" i="1"/>
  <c r="AF254" i="1" s="1"/>
  <c r="D254" i="1"/>
  <c r="E254" i="1" s="1"/>
  <c r="E251" i="1"/>
  <c r="E69" i="1"/>
  <c r="W85" i="1"/>
  <c r="N85" i="1"/>
  <c r="AC85" i="1"/>
  <c r="Q100" i="1"/>
  <c r="AC100" i="1"/>
  <c r="H69" i="1"/>
  <c r="K212" i="1"/>
  <c r="E85" i="1"/>
  <c r="K100" i="1"/>
  <c r="Q85" i="1"/>
  <c r="F212" i="1"/>
  <c r="W100" i="1"/>
  <c r="H210" i="1"/>
  <c r="N69" i="1"/>
  <c r="W16" i="1"/>
  <c r="AE258" i="1"/>
  <c r="AF203" i="1"/>
  <c r="Q55" i="1"/>
  <c r="AC69" i="1"/>
  <c r="H100" i="1"/>
  <c r="K85" i="1"/>
  <c r="G212" i="1"/>
  <c r="H209" i="1"/>
  <c r="AC55" i="1"/>
  <c r="AC40" i="1"/>
  <c r="T69" i="1"/>
  <c r="T100" i="1"/>
  <c r="T55" i="1"/>
  <c r="H85" i="1"/>
  <c r="K40" i="1"/>
  <c r="T40" i="1"/>
  <c r="E40" i="1"/>
  <c r="K16" i="1"/>
  <c r="H16" i="1"/>
  <c r="Z16" i="1"/>
  <c r="H212" i="1" l="1"/>
  <c r="AF31" i="1" l="1"/>
  <c r="AC181" i="1" l="1"/>
  <c r="AC182" i="1"/>
  <c r="AC92" i="1"/>
  <c r="AC76" i="1"/>
  <c r="AF91" i="1" l="1"/>
  <c r="AF75" i="1"/>
  <c r="AF60" i="1"/>
  <c r="AF45" i="1"/>
  <c r="AF21" i="1"/>
  <c r="AF19" i="1"/>
  <c r="AF18" i="1"/>
  <c r="AC91" i="1"/>
  <c r="AC75" i="1"/>
  <c r="AC60" i="1"/>
  <c r="AC45" i="1"/>
  <c r="AC44" i="1"/>
  <c r="AC21" i="1"/>
  <c r="AC24" i="1"/>
  <c r="AC19" i="1"/>
  <c r="AC18" i="1"/>
  <c r="AF24" i="1" l="1"/>
  <c r="AF85" i="1"/>
  <c r="AF61" i="1"/>
  <c r="AF69" i="1"/>
  <c r="AF20" i="1"/>
  <c r="AF56" i="1"/>
  <c r="AF74" i="1"/>
  <c r="AF44" i="1"/>
  <c r="AC61" i="1"/>
  <c r="AC20" i="1"/>
  <c r="AC56" i="1"/>
  <c r="AA102" i="1"/>
  <c r="AA103" i="1" s="1"/>
  <c r="AC201" i="1"/>
  <c r="AC74" i="1"/>
  <c r="AA203" i="1" l="1"/>
  <c r="AF100" i="1"/>
  <c r="AF90" i="1"/>
  <c r="AC90" i="1"/>
  <c r="AB102" i="1" l="1"/>
  <c r="AB103" i="1" s="1"/>
  <c r="AF102" i="1" l="1"/>
  <c r="AF103" i="1"/>
  <c r="AC102" i="1"/>
  <c r="AC103" i="1" l="1"/>
  <c r="AB203" i="1"/>
  <c r="AC203" i="1" l="1"/>
  <c r="Y62" i="1" l="1"/>
  <c r="Y69" i="1" s="1"/>
  <c r="X62" i="1"/>
  <c r="X69" i="1" s="1"/>
  <c r="X47" i="1"/>
  <c r="X55" i="1" s="1"/>
  <c r="X187" i="1" l="1"/>
  <c r="X201" i="1" s="1"/>
  <c r="X211" i="1" s="1"/>
  <c r="Y93" i="1"/>
  <c r="X93" i="1"/>
  <c r="Y47" i="1"/>
  <c r="Z47" i="1" s="1"/>
  <c r="Y77" i="1"/>
  <c r="X77" i="1"/>
  <c r="X85" i="1" s="1"/>
  <c r="Z69" i="1"/>
  <c r="Z62" i="1"/>
  <c r="Z182" i="1"/>
  <c r="X100" i="1" l="1"/>
  <c r="X254" i="1"/>
  <c r="Y100" i="1"/>
  <c r="X212" i="1"/>
  <c r="Y55" i="1"/>
  <c r="Z55" i="1" s="1"/>
  <c r="Z93" i="1"/>
  <c r="Z77" i="1"/>
  <c r="Y85" i="1"/>
  <c r="Z85" i="1" s="1"/>
  <c r="Z100" i="1" l="1"/>
  <c r="Y254" i="1"/>
  <c r="V47" i="1" l="1"/>
  <c r="U47" i="1"/>
  <c r="U55" i="1" s="1"/>
  <c r="V55" i="1" l="1"/>
  <c r="W55" i="1" s="1"/>
  <c r="W47" i="1"/>
  <c r="Y177" i="1"/>
  <c r="Y187" i="1" s="1"/>
  <c r="Z91" i="1"/>
  <c r="Z90" i="1"/>
  <c r="Z75" i="1"/>
  <c r="Z74" i="1"/>
  <c r="Z61" i="1"/>
  <c r="Z60" i="1"/>
  <c r="Z45" i="1"/>
  <c r="Z44" i="1"/>
  <c r="Z21" i="1"/>
  <c r="Z19" i="1"/>
  <c r="Z18" i="1"/>
  <c r="Y201" i="1" l="1"/>
  <c r="Y211" i="1" s="1"/>
  <c r="Y212" i="1" s="1"/>
  <c r="Z212" i="1" s="1"/>
  <c r="Z187" i="1"/>
  <c r="X102" i="1"/>
  <c r="Z201" i="1"/>
  <c r="Z211" i="1" l="1"/>
  <c r="X103" i="1"/>
  <c r="X203" i="1" s="1"/>
  <c r="Z20" i="1"/>
  <c r="Z24" i="1"/>
  <c r="Y102" i="1"/>
  <c r="Y103" i="1" s="1"/>
  <c r="Z56" i="1"/>
  <c r="Z102" i="1" l="1"/>
  <c r="Z103" i="1" l="1"/>
  <c r="Y203" i="1"/>
  <c r="Z203" i="1" l="1"/>
  <c r="T31" i="1" l="1"/>
  <c r="V177" i="1"/>
  <c r="V187" i="1" s="1"/>
  <c r="V201" i="1" s="1"/>
  <c r="V211" i="1" s="1"/>
  <c r="W21" i="1"/>
  <c r="W211" i="1" l="1"/>
  <c r="V212" i="1"/>
  <c r="W212" i="1" s="1"/>
  <c r="W20" i="1"/>
  <c r="W24" i="1"/>
  <c r="W180" i="1"/>
  <c r="W91" i="1"/>
  <c r="W90" i="1"/>
  <c r="W75" i="1"/>
  <c r="W74" i="1"/>
  <c r="W61" i="1"/>
  <c r="W60" i="1"/>
  <c r="W45" i="1"/>
  <c r="W44" i="1"/>
  <c r="W19" i="1"/>
  <c r="W18" i="1"/>
  <c r="U102" i="1" l="1"/>
  <c r="U103" i="1" s="1"/>
  <c r="W201" i="1"/>
  <c r="W56" i="1"/>
  <c r="V102" i="1"/>
  <c r="V103" i="1" s="1"/>
  <c r="T177" i="1"/>
  <c r="T91" i="1"/>
  <c r="T90" i="1"/>
  <c r="T75" i="1"/>
  <c r="T74" i="1"/>
  <c r="T61" i="1"/>
  <c r="T60" i="1"/>
  <c r="T45" i="1"/>
  <c r="T44" i="1"/>
  <c r="T19" i="1"/>
  <c r="T18" i="1"/>
  <c r="T24" i="1" l="1"/>
  <c r="W102" i="1"/>
  <c r="U203" i="1"/>
  <c r="V203" i="1"/>
  <c r="R102" i="1"/>
  <c r="R103" i="1" s="1"/>
  <c r="R203" i="1" s="1"/>
  <c r="S102" i="1"/>
  <c r="S103" i="1" s="1"/>
  <c r="T180" i="1"/>
  <c r="T20" i="1"/>
  <c r="T21" i="1" s="1"/>
  <c r="T181" i="1"/>
  <c r="T56" i="1"/>
  <c r="W103" i="1" l="1"/>
  <c r="W203" i="1"/>
  <c r="S203" i="1"/>
  <c r="T201" i="1"/>
  <c r="T102" i="1"/>
  <c r="T103" i="1" l="1"/>
  <c r="T203" i="1"/>
  <c r="E181" i="1" l="1"/>
  <c r="E91" i="1"/>
  <c r="E90" i="1"/>
  <c r="E75" i="1"/>
  <c r="E74" i="1"/>
  <c r="E61" i="1"/>
  <c r="E60" i="1"/>
  <c r="E45" i="1"/>
  <c r="E44" i="1"/>
  <c r="C20" i="1"/>
  <c r="C24" i="1" s="1"/>
  <c r="E19" i="1"/>
  <c r="E24" i="1" l="1"/>
  <c r="E101" i="1"/>
  <c r="C102" i="1"/>
  <c r="E86" i="1"/>
  <c r="E70" i="1"/>
  <c r="E20" i="1"/>
  <c r="E21" i="1" s="1"/>
  <c r="E201" i="1"/>
  <c r="E202" i="1" s="1"/>
  <c r="E18" i="1"/>
  <c r="C103" i="1" l="1"/>
  <c r="C203" i="1" s="1"/>
  <c r="E56" i="1"/>
  <c r="D102" i="1"/>
  <c r="D103" i="1" s="1"/>
  <c r="M47" i="1"/>
  <c r="M55" i="1" s="1"/>
  <c r="L47" i="1"/>
  <c r="N47" i="1" l="1"/>
  <c r="L55" i="1"/>
  <c r="N55" i="1" s="1"/>
  <c r="E102" i="1"/>
  <c r="J47" i="1"/>
  <c r="I47" i="1"/>
  <c r="I55" i="1" s="1"/>
  <c r="J55" i="1" l="1"/>
  <c r="K55" i="1" s="1"/>
  <c r="K47" i="1"/>
  <c r="D203" i="1"/>
  <c r="E203" i="1" s="1"/>
  <c r="E103" i="1"/>
  <c r="E104" i="1" s="1"/>
  <c r="F47" i="1"/>
  <c r="F55" i="1" s="1"/>
  <c r="G47" i="1"/>
  <c r="H47" i="1" l="1"/>
  <c r="G55" i="1"/>
  <c r="H55" i="1" s="1"/>
  <c r="Q181" i="1" l="1"/>
  <c r="Q177" i="1"/>
  <c r="Q90" i="1"/>
  <c r="Q74" i="1"/>
  <c r="Q61" i="1"/>
  <c r="Q60" i="1"/>
  <c r="N181" i="1"/>
  <c r="N180" i="1"/>
  <c r="N173" i="1"/>
  <c r="N91" i="1"/>
  <c r="N90" i="1"/>
  <c r="N75" i="1"/>
  <c r="N74" i="1"/>
  <c r="N61" i="1"/>
  <c r="N60" i="1"/>
  <c r="N45" i="1"/>
  <c r="N19" i="1"/>
  <c r="K182" i="1"/>
  <c r="K181" i="1"/>
  <c r="K180" i="1"/>
  <c r="K91" i="1"/>
  <c r="K90" i="1"/>
  <c r="K75" i="1"/>
  <c r="K74" i="1"/>
  <c r="K61" i="1"/>
  <c r="K60" i="1"/>
  <c r="K45" i="1"/>
  <c r="K19" i="1"/>
  <c r="H181" i="1"/>
  <c r="H91" i="1"/>
  <c r="H90" i="1"/>
  <c r="H75" i="1"/>
  <c r="H74" i="1"/>
  <c r="H61" i="1"/>
  <c r="H60" i="1"/>
  <c r="H45" i="1"/>
  <c r="H19" i="1"/>
  <c r="O102" i="1" l="1"/>
  <c r="O103" i="1" l="1"/>
  <c r="O203" i="1" s="1"/>
  <c r="N201" i="1"/>
  <c r="L102" i="1"/>
  <c r="L103" i="1" l="1"/>
  <c r="L203" i="1" s="1"/>
  <c r="I102" i="1"/>
  <c r="I103" i="1" l="1"/>
  <c r="I203" i="1" s="1"/>
  <c r="F102" i="1"/>
  <c r="K18" i="1"/>
  <c r="F103" i="1" l="1"/>
  <c r="F203" i="1" s="1"/>
  <c r="Q19" i="1"/>
  <c r="Q91" i="1"/>
  <c r="Q75" i="1"/>
  <c r="Q45" i="1"/>
  <c r="Q44" i="1"/>
  <c r="Q18" i="1"/>
  <c r="Q180" i="1" l="1"/>
  <c r="N44" i="1"/>
  <c r="N18" i="1"/>
  <c r="Q201" i="1" l="1"/>
  <c r="K44" i="1"/>
  <c r="H44" i="1" l="1"/>
  <c r="H18" i="1"/>
  <c r="H201" i="1" l="1"/>
  <c r="K201" i="1"/>
  <c r="H101" i="1"/>
  <c r="H86" i="1"/>
  <c r="H70" i="1"/>
  <c r="H56" i="1"/>
  <c r="H20" i="1" l="1"/>
  <c r="H21" i="1" s="1"/>
  <c r="H24" i="1"/>
  <c r="G102" i="1"/>
  <c r="G103" i="1" s="1"/>
  <c r="N70" i="1"/>
  <c r="K70" i="1"/>
  <c r="Q56" i="1"/>
  <c r="N56" i="1"/>
  <c r="K56" i="1"/>
  <c r="Q20" i="1" l="1"/>
  <c r="Q21" i="1" s="1"/>
  <c r="Q24" i="1"/>
  <c r="N20" i="1"/>
  <c r="N21" i="1" s="1"/>
  <c r="N24" i="1"/>
  <c r="K20" i="1"/>
  <c r="K21" i="1" s="1"/>
  <c r="K24" i="1"/>
  <c r="H102" i="1"/>
  <c r="J102" i="1"/>
  <c r="M102" i="1"/>
  <c r="P102" i="1"/>
  <c r="Q102" i="1" l="1"/>
  <c r="P103" i="1"/>
  <c r="N102" i="1"/>
  <c r="M103" i="1"/>
  <c r="N103" i="1" s="1"/>
  <c r="N104" i="1" s="1"/>
  <c r="K102" i="1"/>
  <c r="J103" i="1"/>
  <c r="K103" i="1" s="1"/>
  <c r="K104" i="1" s="1"/>
  <c r="G203" i="1"/>
  <c r="H203" i="1" s="1"/>
  <c r="H103" i="1"/>
  <c r="H104" i="1" s="1"/>
  <c r="P203" i="1" l="1"/>
  <c r="Q103" i="1"/>
  <c r="M203" i="1"/>
  <c r="J203" i="1"/>
  <c r="K203" i="1" s="1"/>
  <c r="Q203" i="1" l="1"/>
  <c r="N203" i="1"/>
</calcChain>
</file>

<file path=xl/sharedStrings.xml><?xml version="1.0" encoding="utf-8"?>
<sst xmlns="http://schemas.openxmlformats.org/spreadsheetml/2006/main" count="311" uniqueCount="122">
  <si>
    <t>Ampayon, Butuan City</t>
  </si>
  <si>
    <t>REGULAR AGENCY FUND</t>
  </si>
  <si>
    <t>COMPARATIVE DATA</t>
  </si>
  <si>
    <t>FY 2015</t>
  </si>
  <si>
    <t>FY 2016</t>
  </si>
  <si>
    <t>FY 2017</t>
  </si>
  <si>
    <t>GENERAL ADMINISTRATION AND SUPPORT</t>
  </si>
  <si>
    <t>Personal Services</t>
  </si>
  <si>
    <t>MOOE</t>
  </si>
  <si>
    <t>OPERATIONS</t>
  </si>
  <si>
    <t>MFO1: HIGHER EDUCATION SERVICES</t>
  </si>
  <si>
    <t>MFO2: ADVANCED EDUCATION SERVICES</t>
  </si>
  <si>
    <t>MFO3: RESEARCH SERVICES</t>
  </si>
  <si>
    <t>MFO4: TECHNICAL ADVISORY AND EXTENSION SERVICES</t>
  </si>
  <si>
    <t>TOTAL OPERATIONS</t>
  </si>
  <si>
    <t>PROGRAMS</t>
  </si>
  <si>
    <t>TOTAL PROGRAMS</t>
  </si>
  <si>
    <t>PROJECTS</t>
  </si>
  <si>
    <t>Buildings and Structures Outlay</t>
  </si>
  <si>
    <t>- Building</t>
  </si>
  <si>
    <t>- School Building</t>
  </si>
  <si>
    <t>FY 2014</t>
  </si>
  <si>
    <t>TOTAL PROJECTS</t>
  </si>
  <si>
    <t>Capital Outlay</t>
  </si>
  <si>
    <t>SUPPORT TO OPERATIONS</t>
  </si>
  <si>
    <t>Appropriation</t>
  </si>
  <si>
    <t>Machinery and Equipments Outlay</t>
  </si>
  <si>
    <t xml:space="preserve">CARAGA STATE UNIVERSITY </t>
  </si>
  <si>
    <t>* Performance at the end of the year</t>
  </si>
  <si>
    <t xml:space="preserve">Obligations </t>
  </si>
  <si>
    <t>FY 2013</t>
  </si>
  <si>
    <t>Prepared by:</t>
  </si>
  <si>
    <t>IRENE GRACE V. SATORRE</t>
  </si>
  <si>
    <t>Total, MFO3</t>
  </si>
  <si>
    <t>Total, MFO4</t>
  </si>
  <si>
    <t>% Utiliza- tions</t>
  </si>
  <si>
    <t>TOTAL</t>
  </si>
  <si>
    <t>FY 2018</t>
  </si>
  <si>
    <t>FY 2019</t>
  </si>
  <si>
    <t>FY 2020</t>
  </si>
  <si>
    <t>- Hostel and Dormitories</t>
  </si>
  <si>
    <t>FY 2021</t>
  </si>
  <si>
    <t>CO</t>
  </si>
  <si>
    <t xml:space="preserve">Obligations  </t>
  </si>
  <si>
    <t>MAIN CAMPUS</t>
  </si>
  <si>
    <t>CABADBARAN CAMPUS</t>
  </si>
  <si>
    <t>Sub-Total</t>
  </si>
  <si>
    <t>CAPITAL OUTLAY</t>
  </si>
  <si>
    <t>Furnitures and Fixtures Outlay</t>
  </si>
  <si>
    <t>Livestock</t>
  </si>
  <si>
    <t>PERSONNEL SERVICES</t>
  </si>
  <si>
    <t>FAR</t>
  </si>
  <si>
    <t>FY 2024 (Actual)</t>
  </si>
  <si>
    <t>FY 2023 (Actual)</t>
  </si>
  <si>
    <t>FY 2022 (Actual)</t>
  </si>
  <si>
    <t>-</t>
  </si>
  <si>
    <t>Administrative Officer V</t>
  </si>
  <si>
    <t>Completion of College of Tourism &amp; Hospitality Management Building Phase 2</t>
  </si>
  <si>
    <t>Completion of CSUCC Academic Building Complex</t>
  </si>
  <si>
    <t>RS-Electrical System Infrastructure Optimization in Elementary Schools for Enhanced Energy Efficiency, Safety, and Learning Environments</t>
  </si>
  <si>
    <t>Completion of Ladies and Gents Dormitory - Phase II</t>
  </si>
  <si>
    <t>FLR - Tulong Dunong Program</t>
  </si>
  <si>
    <t>RS-Dev't and Implementation of SSLSIRLICS in Partnership of Caraga LGU’s and Barangay’s</t>
  </si>
  <si>
    <t>RS-Population status of long-tailed macaques &amp; their interface with humans in the selected brgys of Butuan City</t>
  </si>
  <si>
    <t>RS-Potential Ecological and Human Health Risks Associated to Heavy Metal Contaminations in the Fishery Resources of Butuan Bay</t>
  </si>
  <si>
    <t>RS-Species Composition and vegetation Analysis in Mt. Hilong-hilong RTR, ADN, Min., Phil.: Stategy in Developing As Protected Area (YEAR 1)</t>
  </si>
  <si>
    <t>ES - HITSAS-TULAY (Tuyhakaw sa kabatan-onang Lumad)</t>
  </si>
  <si>
    <t>ES - MUGNA Caraga: Mentoring and Upskilling Groups towards Navigating their Action-Response</t>
  </si>
  <si>
    <t>FLR - Capacity Development on Futures Thinking and Strategic Foresight</t>
  </si>
  <si>
    <t>RAF-Higher Education Program- Capital Outlay-Machinery and Equipment</t>
  </si>
  <si>
    <t>RS - Biodiversity Assessment of the Proposed Local Conservation Area in Brgy. Sumile, Butuan City</t>
  </si>
  <si>
    <t>RS - Communication Pathways of Falcata Adoption among Farmers in Agusan del Sur, Philippines</t>
  </si>
  <si>
    <t>RS - Development of a Community-Based Psychosocial Support Program for Rural Communities in Caraga</t>
  </si>
  <si>
    <t>FLR - Higher Education Research and Innovation Project</t>
  </si>
  <si>
    <t>Completion of Ladies and Gents Dormitory - Phase I</t>
  </si>
  <si>
    <t>ES- Technology Transfer Sago Processing Technology</t>
  </si>
  <si>
    <t>RS - Determination of Agricultural Mechanization Level of Rice and Corn</t>
  </si>
  <si>
    <t>RS - Development and Optimization of Commodity-Based Smart Agri-Fishery Mechanization</t>
  </si>
  <si>
    <t>RS - Post-Production Handling Modernization for Small-Hold Farms</t>
  </si>
  <si>
    <t>RS - Value-Adding of Agricultural Wastes into Potential Utilization/Technology</t>
  </si>
  <si>
    <t>RS - Development of Innovative Food Products through Advance Food Processing Technologies</t>
  </si>
  <si>
    <t>RS - Development of Pilot Model Animal Feed Milling Facility</t>
  </si>
  <si>
    <t>RS - Program on Food Innovation and Development in the Caraga Region</t>
  </si>
  <si>
    <t>RS - Program on the Use of Biotechnology to Modernize Production of High-Value Crops</t>
  </si>
  <si>
    <t>RS - Resource Assessment, Modeling and Development of Agriculture 4.0 Technologies</t>
  </si>
  <si>
    <t>RS - Soil and Plant Health Research and Innovation Program</t>
  </si>
  <si>
    <t>RS - Utilization of Sago Pith Meal as Feed for Cattle</t>
  </si>
  <si>
    <t>RS - Water Resource Assessment and Modeling of the Selected Watersheds in Caraga Region</t>
  </si>
  <si>
    <t>APPROPRIATIONS and OBLIGATIONS</t>
  </si>
  <si>
    <t>TOTAL REGULAR APPROPRIATION</t>
  </si>
  <si>
    <t>SUMMARY REGULAR APPROPRIATION:</t>
  </si>
  <si>
    <t>SUMMARY CONTINUING APPROPRIATION:</t>
  </si>
  <si>
    <t>TOTAL CONTINUING APPROPRIATION</t>
  </si>
  <si>
    <t>Sub-Total PS</t>
  </si>
  <si>
    <t>Sub-Total MOOE</t>
  </si>
  <si>
    <t>Sub-Total CO</t>
  </si>
  <si>
    <t>Conduct of Activities for Sports and Culture Development</t>
  </si>
  <si>
    <t>Infrastructure and Smart Campus Development, Operationalization of Face-to-Face Classes and Upgrading/Procurement of Equipment</t>
  </si>
  <si>
    <t>FLR - Conduct of Activities for Sports &amp; Culture Development</t>
  </si>
  <si>
    <t>HED - Infra. and Smart Campus Dev't, operationalization of Face-to-Face Classes</t>
  </si>
  <si>
    <t>Student Assistance Program</t>
  </si>
  <si>
    <t>HED FLR - Student Assistance Program</t>
  </si>
  <si>
    <t>FY 2025 (Actual)</t>
  </si>
  <si>
    <t>Sub-Total, GMS- PS</t>
  </si>
  <si>
    <t>Sub-Total, GMS- MOOE</t>
  </si>
  <si>
    <t>Sub-Total, STO- PS</t>
  </si>
  <si>
    <t>Sub-Total, STO- MOOE</t>
  </si>
  <si>
    <t>Sub-Total, MFO1- PS</t>
  </si>
  <si>
    <t>Sub-Total, MFO1- MOOE</t>
  </si>
  <si>
    <t>Sub-Total, MFO1- CO</t>
  </si>
  <si>
    <t>Sub-Total, MFO2- PS</t>
  </si>
  <si>
    <t>Sub-Total, MFO2- MOOE</t>
  </si>
  <si>
    <t>Sub-Total, MFO3- PS</t>
  </si>
  <si>
    <t>Sub-Total, MFO3- MOOE</t>
  </si>
  <si>
    <t>Sub-Total, MFO3- CO</t>
  </si>
  <si>
    <t>Sub-Total, MFO4- PS</t>
  </si>
  <si>
    <t>Sub-Total, MFO4- MOOE</t>
  </si>
  <si>
    <t>Total, MFO2</t>
  </si>
  <si>
    <t>Total, MFO1</t>
  </si>
  <si>
    <t>Total, STO</t>
  </si>
  <si>
    <t>Total, GMS</t>
  </si>
  <si>
    <t>Continuing Appropriations: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</si>
</sst>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43" fontId="0" fillId="0" borderId="0" xfId="1" applyFont="1"/>
    <xf numFmtId="0" fontId="5" fillId="0" borderId="0" xfId="0" applyFont="1"/>
    <xf numFmtId="0" fontId="2" fillId="0" borderId="0" xfId="0" applyFont="1"/>
    <xf numFmtId="0" fontId="10" fillId="0" borderId="0" xfId="0" applyFont="1"/>
    <xf numFmtId="0" fontId="9" fillId="0" borderId="0" xfId="0" applyFont="1"/>
    <xf numFmtId="0" fontId="12" fillId="0" borderId="0" xfId="0" applyFont="1"/>
    <xf numFmtId="0" fontId="3" fillId="0" borderId="0" xfId="0" applyFont="1"/>
    <xf numFmtId="0" fontId="4" fillId="0" borderId="0" xfId="0" applyFont="1"/>
    <xf numFmtId="43" fontId="5" fillId="0" borderId="0" xfId="1" applyFont="1" applyAlignment="1">
      <alignment vertical="center" wrapText="1"/>
    </xf>
    <xf numFmtId="0" fontId="6" fillId="0" borderId="0" xfId="0" applyFont="1"/>
    <xf numFmtId="0" fontId="7" fillId="0" borderId="0" xfId="0" applyFont="1"/>
    <xf numFmtId="43" fontId="2" fillId="0" borderId="3" xfId="1" applyFont="1" applyBorder="1"/>
    <xf numFmtId="0" fontId="0" fillId="0" borderId="3" xfId="0" applyBorder="1"/>
    <xf numFmtId="43" fontId="0" fillId="0" borderId="3" xfId="1" applyFont="1" applyBorder="1"/>
    <xf numFmtId="43" fontId="9" fillId="0" borderId="3" xfId="1" applyFont="1" applyBorder="1"/>
    <xf numFmtId="10" fontId="0" fillId="0" borderId="3" xfId="2" applyNumberFormat="1" applyFont="1" applyBorder="1" applyAlignment="1">
      <alignment horizontal="center"/>
    </xf>
    <xf numFmtId="43" fontId="0" fillId="0" borderId="2" xfId="1" applyFont="1" applyBorder="1"/>
    <xf numFmtId="43" fontId="12" fillId="0" borderId="3" xfId="1" applyFont="1" applyBorder="1"/>
    <xf numFmtId="10" fontId="12" fillId="0" borderId="3" xfId="2" applyNumberFormat="1" applyFont="1" applyBorder="1" applyAlignment="1">
      <alignment horizontal="center"/>
    </xf>
    <xf numFmtId="43" fontId="10" fillId="0" borderId="3" xfId="1" applyFont="1" applyBorder="1"/>
    <xf numFmtId="10" fontId="10" fillId="0" borderId="3" xfId="2" applyNumberFormat="1" applyFont="1" applyBorder="1" applyAlignment="1">
      <alignment horizontal="center"/>
    </xf>
    <xf numFmtId="43" fontId="2" fillId="0" borderId="4" xfId="1" applyFont="1" applyBorder="1"/>
    <xf numFmtId="43" fontId="14" fillId="0" borderId="3" xfId="1" applyFont="1" applyBorder="1"/>
    <xf numFmtId="43" fontId="15" fillId="0" borderId="3" xfId="1" applyFont="1" applyBorder="1"/>
    <xf numFmtId="0" fontId="0" fillId="0" borderId="5" xfId="0" applyBorder="1"/>
    <xf numFmtId="43" fontId="0" fillId="0" borderId="5" xfId="1" applyFont="1" applyBorder="1"/>
    <xf numFmtId="43" fontId="9" fillId="0" borderId="5" xfId="1" applyFont="1" applyBorder="1"/>
    <xf numFmtId="0" fontId="0" fillId="0" borderId="6" xfId="0" applyBorder="1"/>
    <xf numFmtId="0" fontId="0" fillId="0" borderId="8" xfId="0" applyBorder="1"/>
    <xf numFmtId="0" fontId="2" fillId="0" borderId="9" xfId="0" applyFont="1" applyBorder="1"/>
    <xf numFmtId="0" fontId="2" fillId="0" borderId="10" xfId="0" applyFont="1" applyBorder="1"/>
    <xf numFmtId="0" fontId="8" fillId="0" borderId="9" xfId="0" applyFont="1" applyBorder="1"/>
    <xf numFmtId="0" fontId="0" fillId="0" borderId="10" xfId="0" applyBorder="1"/>
    <xf numFmtId="0" fontId="2" fillId="0" borderId="9" xfId="0" applyFont="1" applyBorder="1" applyAlignment="1">
      <alignment horizontal="left" indent="2"/>
    </xf>
    <xf numFmtId="0" fontId="0" fillId="0" borderId="9" xfId="0" applyBorder="1"/>
    <xf numFmtId="0" fontId="0" fillId="0" borderId="10" xfId="0" applyBorder="1" applyAlignment="1">
      <alignment horizontal="left" indent="3"/>
    </xf>
    <xf numFmtId="0" fontId="12" fillId="0" borderId="9" xfId="0" applyFont="1" applyBorder="1"/>
    <xf numFmtId="0" fontId="12" fillId="0" borderId="10" xfId="0" applyFont="1" applyBorder="1"/>
    <xf numFmtId="0" fontId="0" fillId="0" borderId="10" xfId="0" applyBorder="1" applyAlignment="1">
      <alignment horizontal="left" indent="6"/>
    </xf>
    <xf numFmtId="0" fontId="11" fillId="0" borderId="10" xfId="0" applyFont="1" applyBorder="1"/>
    <xf numFmtId="0" fontId="10" fillId="0" borderId="9" xfId="0" applyFont="1" applyBorder="1"/>
    <xf numFmtId="0" fontId="10" fillId="0" borderId="10" xfId="0" applyFont="1" applyBorder="1"/>
    <xf numFmtId="43" fontId="0" fillId="0" borderId="10" xfId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3" fontId="2" fillId="0" borderId="2" xfId="1" applyFont="1" applyBorder="1"/>
    <xf numFmtId="43" fontId="13" fillId="0" borderId="3" xfId="1" applyFont="1" applyBorder="1"/>
    <xf numFmtId="10" fontId="13" fillId="0" borderId="3" xfId="2" applyNumberFormat="1" applyFont="1" applyBorder="1" applyAlignment="1">
      <alignment horizontal="center"/>
    </xf>
    <xf numFmtId="0" fontId="9" fillId="0" borderId="9" xfId="0" applyFont="1" applyBorder="1"/>
    <xf numFmtId="10" fontId="2" fillId="0" borderId="3" xfId="2" applyNumberFormat="1" applyFont="1" applyBorder="1" applyAlignment="1">
      <alignment horizontal="center"/>
    </xf>
    <xf numFmtId="43" fontId="0" fillId="0" borderId="0" xfId="1" applyFont="1" applyBorder="1"/>
    <xf numFmtId="0" fontId="0" fillId="0" borderId="10" xfId="0" applyBorder="1" applyAlignment="1">
      <alignment horizontal="left" indent="1"/>
    </xf>
    <xf numFmtId="0" fontId="0" fillId="0" borderId="10" xfId="0" applyBorder="1" applyAlignment="1">
      <alignment horizontal="left" indent="2"/>
    </xf>
    <xf numFmtId="0" fontId="0" fillId="0" borderId="10" xfId="0" quotePrefix="1" applyBorder="1" applyAlignment="1">
      <alignment horizontal="left" indent="3"/>
    </xf>
    <xf numFmtId="0" fontId="0" fillId="0" borderId="10" xfId="0" quotePrefix="1" applyBorder="1" applyAlignment="1">
      <alignment horizontal="left" indent="4"/>
    </xf>
    <xf numFmtId="43" fontId="2" fillId="0" borderId="0" xfId="1" applyFont="1"/>
    <xf numFmtId="0" fontId="0" fillId="0" borderId="10" xfId="0" applyBorder="1" applyAlignment="1">
      <alignment horizontal="left" indent="4"/>
    </xf>
    <xf numFmtId="10" fontId="2" fillId="0" borderId="0" xfId="2" applyNumberFormat="1" applyFont="1"/>
    <xf numFmtId="43" fontId="0" fillId="0" borderId="9" xfId="1" applyFont="1" applyBorder="1"/>
    <xf numFmtId="43" fontId="0" fillId="0" borderId="17" xfId="1" applyFont="1" applyBorder="1"/>
    <xf numFmtId="43" fontId="15" fillId="0" borderId="9" xfId="1" applyFont="1" applyBorder="1"/>
    <xf numFmtId="43" fontId="14" fillId="0" borderId="0" xfId="1" applyFont="1"/>
    <xf numFmtId="43" fontId="6" fillId="0" borderId="0" xfId="0" applyNumberFormat="1" applyFont="1"/>
    <xf numFmtId="0" fontId="18" fillId="0" borderId="0" xfId="0" applyFont="1"/>
    <xf numFmtId="10" fontId="0" fillId="0" borderId="0" xfId="2" applyNumberFormat="1" applyFont="1" applyBorder="1" applyAlignment="1">
      <alignment horizontal="center"/>
    </xf>
    <xf numFmtId="10" fontId="0" fillId="0" borderId="0" xfId="2" applyNumberFormat="1" applyFont="1" applyBorder="1"/>
    <xf numFmtId="0" fontId="0" fillId="0" borderId="7" xfId="0" applyBorder="1"/>
    <xf numFmtId="43" fontId="0" fillId="0" borderId="7" xfId="1" applyFont="1" applyBorder="1"/>
    <xf numFmtId="10" fontId="0" fillId="0" borderId="10" xfId="2" applyNumberFormat="1" applyFont="1" applyBorder="1"/>
    <xf numFmtId="43" fontId="0" fillId="0" borderId="12" xfId="1" applyFont="1" applyBorder="1"/>
    <xf numFmtId="10" fontId="0" fillId="0" borderId="3" xfId="2" applyNumberFormat="1" applyFont="1" applyBorder="1"/>
    <xf numFmtId="43" fontId="0" fillId="0" borderId="8" xfId="1" applyFont="1" applyBorder="1"/>
    <xf numFmtId="43" fontId="2" fillId="0" borderId="0" xfId="1" applyFont="1" applyBorder="1"/>
    <xf numFmtId="43" fontId="0" fillId="0" borderId="13" xfId="1" applyFont="1" applyBorder="1"/>
    <xf numFmtId="0" fontId="2" fillId="0" borderId="19" xfId="0" applyFont="1" applyBorder="1"/>
    <xf numFmtId="43" fontId="2" fillId="0" borderId="19" xfId="1" applyFont="1" applyBorder="1"/>
    <xf numFmtId="43" fontId="0" fillId="0" borderId="18" xfId="1" applyFont="1" applyBorder="1"/>
    <xf numFmtId="10" fontId="0" fillId="0" borderId="5" xfId="2" applyNumberFormat="1" applyFont="1" applyBorder="1"/>
    <xf numFmtId="0" fontId="2" fillId="0" borderId="21" xfId="0" applyFont="1" applyBorder="1"/>
    <xf numFmtId="10" fontId="2" fillId="0" borderId="19" xfId="2" applyNumberFormat="1" applyFont="1" applyBorder="1"/>
    <xf numFmtId="10" fontId="2" fillId="0" borderId="20" xfId="2" applyNumberFormat="1" applyFont="1" applyBorder="1"/>
    <xf numFmtId="10" fontId="2" fillId="0" borderId="4" xfId="2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39" fontId="19" fillId="0" borderId="0" xfId="0" applyNumberFormat="1" applyFont="1"/>
    <xf numFmtId="39" fontId="20" fillId="0" borderId="0" xfId="0" applyNumberFormat="1" applyFont="1"/>
    <xf numFmtId="0" fontId="21" fillId="0" borderId="0" xfId="0" applyFont="1" applyAlignment="1">
      <alignment wrapText="1"/>
    </xf>
    <xf numFmtId="39" fontId="21" fillId="0" borderId="0" xfId="0" applyNumberFormat="1" applyFont="1"/>
    <xf numFmtId="39" fontId="22" fillId="0" borderId="0" xfId="0" applyNumberFormat="1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0" fillId="0" borderId="5" xfId="2" applyNumberFormat="1" applyFont="1" applyBorder="1" applyAlignment="1">
      <alignment horizontal="center"/>
    </xf>
    <xf numFmtId="0" fontId="0" fillId="0" borderId="13" xfId="0" applyBorder="1" applyAlignment="1">
      <alignment horizontal="left" indent="3"/>
    </xf>
    <xf numFmtId="43" fontId="2" fillId="0" borderId="18" xfId="1" applyFont="1" applyBorder="1"/>
    <xf numFmtId="0" fontId="12" fillId="0" borderId="11" xfId="0" applyFont="1" applyBorder="1"/>
    <xf numFmtId="0" fontId="12" fillId="0" borderId="13" xfId="0" applyFont="1" applyBorder="1"/>
    <xf numFmtId="43" fontId="12" fillId="0" borderId="13" xfId="1" applyFont="1" applyBorder="1"/>
    <xf numFmtId="43" fontId="12" fillId="0" borderId="5" xfId="1" applyFont="1" applyBorder="1"/>
    <xf numFmtId="10" fontId="12" fillId="0" borderId="5" xfId="2" applyNumberFormat="1" applyFont="1" applyBorder="1" applyAlignment="1">
      <alignment horizontal="center"/>
    </xf>
    <xf numFmtId="43" fontId="13" fillId="0" borderId="5" xfId="1" applyFont="1" applyBorder="1"/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43" fontId="2" fillId="0" borderId="16" xfId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0" xfId="0" applyBorder="1" applyAlignment="1">
      <alignment horizontal="left" wrapText="1" indent="1"/>
    </xf>
    <xf numFmtId="0" fontId="17" fillId="0" borderId="10" xfId="0" applyFont="1" applyBorder="1" applyAlignment="1">
      <alignment horizontal="left" wrapText="1" indent="1"/>
    </xf>
    <xf numFmtId="0" fontId="25" fillId="0" borderId="10" xfId="0" applyFont="1" applyBorder="1" applyAlignment="1">
      <alignment horizontal="left" wrapText="1" indent="1"/>
    </xf>
    <xf numFmtId="43" fontId="0" fillId="0" borderId="3" xfId="1" applyFont="1" applyBorder="1" applyAlignment="1">
      <alignment vertical="top"/>
    </xf>
    <xf numFmtId="10" fontId="0" fillId="0" borderId="3" xfId="2" applyNumberFormat="1" applyFont="1" applyBorder="1" applyAlignment="1">
      <alignment horizontal="center" vertical="top"/>
    </xf>
    <xf numFmtId="43" fontId="9" fillId="0" borderId="3" xfId="1" applyFont="1" applyBorder="1" applyAlignment="1">
      <alignment vertical="top"/>
    </xf>
    <xf numFmtId="43" fontId="15" fillId="0" borderId="3" xfId="1" applyFont="1" applyBorder="1" applyAlignment="1">
      <alignment vertical="top"/>
    </xf>
    <xf numFmtId="0" fontId="26" fillId="0" borderId="9" xfId="0" applyFont="1" applyBorder="1"/>
    <xf numFmtId="0" fontId="27" fillId="0" borderId="10" xfId="0" applyFont="1" applyBorder="1" applyAlignment="1">
      <alignment horizontal="left" indent="6"/>
    </xf>
    <xf numFmtId="43" fontId="27" fillId="0" borderId="3" xfId="1" applyFont="1" applyBorder="1"/>
    <xf numFmtId="10" fontId="27" fillId="0" borderId="3" xfId="2" applyNumberFormat="1" applyFont="1" applyBorder="1" applyAlignment="1">
      <alignment horizontal="center"/>
    </xf>
    <xf numFmtId="43" fontId="27" fillId="0" borderId="3" xfId="1" applyFont="1" applyBorder="1" applyAlignment="1">
      <alignment vertical="top"/>
    </xf>
    <xf numFmtId="0" fontId="27" fillId="0" borderId="0" xfId="0" applyFont="1"/>
    <xf numFmtId="10" fontId="27" fillId="0" borderId="3" xfId="2" applyNumberFormat="1" applyFont="1" applyBorder="1" applyAlignment="1">
      <alignment horizontal="center" vertical="top"/>
    </xf>
    <xf numFmtId="10" fontId="9" fillId="0" borderId="3" xfId="2" applyNumberFormat="1" applyFont="1" applyBorder="1" applyAlignment="1">
      <alignment horizontal="center" vertical="top"/>
    </xf>
    <xf numFmtId="10" fontId="0" fillId="0" borderId="9" xfId="2" applyNumberFormat="1" applyFont="1" applyBorder="1"/>
    <xf numFmtId="0" fontId="2" fillId="0" borderId="11" xfId="0" applyFont="1" applyBorder="1"/>
    <xf numFmtId="0" fontId="2" fillId="2" borderId="23" xfId="0" applyFont="1" applyFill="1" applyBorder="1"/>
    <xf numFmtId="0" fontId="0" fillId="2" borderId="24" xfId="0" applyFill="1" applyBorder="1"/>
    <xf numFmtId="43" fontId="0" fillId="2" borderId="24" xfId="1" applyFont="1" applyFill="1" applyBorder="1"/>
    <xf numFmtId="43" fontId="0" fillId="2" borderId="22" xfId="1" applyFont="1" applyFill="1" applyBorder="1"/>
    <xf numFmtId="43" fontId="0" fillId="2" borderId="25" xfId="1" applyFont="1" applyFill="1" applyBorder="1"/>
    <xf numFmtId="0" fontId="2" fillId="3" borderId="23" xfId="0" applyFont="1" applyFill="1" applyBorder="1"/>
    <xf numFmtId="0" fontId="0" fillId="3" borderId="24" xfId="0" applyFill="1" applyBorder="1"/>
    <xf numFmtId="43" fontId="0" fillId="3" borderId="24" xfId="1" applyFont="1" applyFill="1" applyBorder="1"/>
    <xf numFmtId="43" fontId="0" fillId="3" borderId="22" xfId="1" applyFont="1" applyFill="1" applyBorder="1"/>
    <xf numFmtId="43" fontId="0" fillId="3" borderId="25" xfId="1" applyFont="1" applyFill="1" applyBorder="1"/>
    <xf numFmtId="10" fontId="2" fillId="0" borderId="4" xfId="2" applyNumberFormat="1" applyFont="1" applyBorder="1" applyAlignment="1">
      <alignment horizontal="center"/>
    </xf>
    <xf numFmtId="0" fontId="17" fillId="0" borderId="10" xfId="0" applyFont="1" applyBorder="1" applyAlignment="1">
      <alignment horizontal="left" vertical="top" wrapText="1" indent="1"/>
    </xf>
    <xf numFmtId="0" fontId="27" fillId="0" borderId="10" xfId="0" applyFont="1" applyBorder="1" applyAlignment="1">
      <alignment horizontal="left" wrapText="1" indent="6"/>
    </xf>
    <xf numFmtId="0" fontId="0" fillId="0" borderId="10" xfId="0" applyBorder="1" applyAlignment="1">
      <alignment horizontal="left" vertical="top" wrapText="1" indent="1"/>
    </xf>
    <xf numFmtId="0" fontId="8" fillId="0" borderId="27" xfId="0" applyFont="1" applyBorder="1"/>
    <xf numFmtId="0" fontId="0" fillId="0" borderId="28" xfId="0" applyBorder="1" applyAlignment="1">
      <alignment horizontal="left" wrapText="1" indent="1"/>
    </xf>
    <xf numFmtId="43" fontId="0" fillId="0" borderId="26" xfId="1" applyFont="1" applyBorder="1"/>
    <xf numFmtId="10" fontId="0" fillId="0" borderId="26" xfId="2" applyNumberFormat="1" applyFont="1" applyBorder="1" applyAlignment="1">
      <alignment horizontal="center"/>
    </xf>
    <xf numFmtId="43" fontId="0" fillId="0" borderId="26" xfId="1" applyFont="1" applyBorder="1" applyAlignment="1">
      <alignment vertical="top"/>
    </xf>
    <xf numFmtId="10" fontId="9" fillId="0" borderId="26" xfId="2" applyNumberFormat="1" applyFont="1" applyBorder="1" applyAlignment="1">
      <alignment horizontal="center" vertical="top"/>
    </xf>
    <xf numFmtId="43" fontId="9" fillId="0" borderId="26" xfId="1" applyFont="1" applyBorder="1"/>
    <xf numFmtId="0" fontId="17" fillId="0" borderId="28" xfId="0" applyFont="1" applyBorder="1" applyAlignment="1">
      <alignment horizontal="left" wrapText="1" indent="1"/>
    </xf>
    <xf numFmtId="10" fontId="0" fillId="0" borderId="26" xfId="2" applyNumberFormat="1" applyFont="1" applyBorder="1" applyAlignment="1">
      <alignment horizontal="center" vertical="top"/>
    </xf>
    <xf numFmtId="0" fontId="25" fillId="0" borderId="28" xfId="0" applyFont="1" applyBorder="1" applyAlignment="1">
      <alignment horizontal="left" wrapText="1" indent="1"/>
    </xf>
    <xf numFmtId="0" fontId="0" fillId="0" borderId="27" xfId="0" applyBorder="1"/>
    <xf numFmtId="43" fontId="9" fillId="0" borderId="26" xfId="1" applyFont="1" applyBorder="1" applyAlignment="1">
      <alignment vertical="top"/>
    </xf>
    <xf numFmtId="0" fontId="17" fillId="0" borderId="28" xfId="0" applyFont="1" applyBorder="1" applyAlignment="1">
      <alignment horizontal="left" vertical="top" wrapText="1" indent="1"/>
    </xf>
    <xf numFmtId="0" fontId="0" fillId="0" borderId="28" xfId="0" applyBorder="1" applyAlignment="1">
      <alignment horizontal="left" vertical="top" wrapText="1" indent="1"/>
    </xf>
    <xf numFmtId="43" fontId="2" fillId="0" borderId="4" xfId="1" applyFont="1" applyBorder="1" applyAlignment="1">
      <alignment horizontal="center"/>
    </xf>
    <xf numFmtId="43" fontId="2" fillId="0" borderId="20" xfId="1" applyFont="1" applyBorder="1"/>
    <xf numFmtId="0" fontId="8" fillId="0" borderId="11" xfId="0" applyFont="1" applyBorder="1"/>
    <xf numFmtId="0" fontId="0" fillId="0" borderId="13" xfId="0" applyBorder="1" applyAlignment="1">
      <alignment horizontal="left" wrapText="1" indent="1"/>
    </xf>
    <xf numFmtId="43" fontId="0" fillId="0" borderId="5" xfId="1" applyFont="1" applyBorder="1" applyAlignment="1">
      <alignment vertical="top"/>
    </xf>
    <xf numFmtId="10" fontId="9" fillId="0" borderId="5" xfId="2" applyNumberFormat="1" applyFont="1" applyBorder="1" applyAlignment="1">
      <alignment horizontal="center" vertical="top"/>
    </xf>
    <xf numFmtId="0" fontId="8" fillId="0" borderId="30" xfId="0" applyFont="1" applyBorder="1"/>
    <xf numFmtId="0" fontId="25" fillId="0" borderId="31" xfId="0" applyFont="1" applyBorder="1" applyAlignment="1">
      <alignment horizontal="left" wrapText="1" indent="1"/>
    </xf>
    <xf numFmtId="43" fontId="0" fillId="0" borderId="29" xfId="1" applyFont="1" applyBorder="1"/>
    <xf numFmtId="10" fontId="0" fillId="0" borderId="29" xfId="2" applyNumberFormat="1" applyFont="1" applyBorder="1" applyAlignment="1">
      <alignment horizontal="center"/>
    </xf>
    <xf numFmtId="43" fontId="0" fillId="0" borderId="29" xfId="1" applyFont="1" applyBorder="1" applyAlignment="1">
      <alignment vertical="top"/>
    </xf>
    <xf numFmtId="43" fontId="9" fillId="0" borderId="29" xfId="1" applyFont="1" applyBorder="1" applyAlignment="1">
      <alignment vertical="top"/>
    </xf>
    <xf numFmtId="10" fontId="0" fillId="0" borderId="29" xfId="2" applyNumberFormat="1" applyFont="1" applyBorder="1" applyAlignment="1">
      <alignment horizontal="center" vertical="top"/>
    </xf>
    <xf numFmtId="10" fontId="0" fillId="0" borderId="2" xfId="2" applyNumberFormat="1" applyFont="1" applyBorder="1" applyAlignment="1">
      <alignment horizontal="center"/>
    </xf>
    <xf numFmtId="10" fontId="2" fillId="0" borderId="2" xfId="2" applyNumberFormat="1" applyFont="1" applyBorder="1" applyAlignment="1">
      <alignment horizontal="center"/>
    </xf>
    <xf numFmtId="10" fontId="9" fillId="0" borderId="2" xfId="2" applyNumberFormat="1" applyFont="1" applyBorder="1" applyAlignment="1">
      <alignment horizontal="center"/>
    </xf>
    <xf numFmtId="43" fontId="12" fillId="0" borderId="2" xfId="1" applyFont="1" applyBorder="1"/>
    <xf numFmtId="10" fontId="12" fillId="0" borderId="2" xfId="2" applyNumberFormat="1" applyFont="1" applyBorder="1" applyAlignment="1">
      <alignment horizontal="center"/>
    </xf>
    <xf numFmtId="43" fontId="2" fillId="0" borderId="1" xfId="1" applyFont="1" applyBorder="1"/>
    <xf numFmtId="10" fontId="0" fillId="0" borderId="1" xfId="2" applyNumberFormat="1" applyFont="1" applyBorder="1" applyAlignment="1">
      <alignment horizontal="center"/>
    </xf>
    <xf numFmtId="10" fontId="2" fillId="0" borderId="1" xfId="2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10" fontId="0" fillId="0" borderId="32" xfId="2" applyNumberFormat="1" applyFont="1" applyBorder="1" applyAlignment="1">
      <alignment horizontal="center" vertical="top"/>
    </xf>
    <xf numFmtId="0" fontId="0" fillId="4" borderId="9" xfId="0" applyFill="1" applyBorder="1"/>
    <xf numFmtId="0" fontId="0" fillId="4" borderId="0" xfId="0" applyFill="1"/>
    <xf numFmtId="43" fontId="0" fillId="4" borderId="0" xfId="1" applyFont="1" applyFill="1" applyBorder="1"/>
    <xf numFmtId="43" fontId="0" fillId="4" borderId="10" xfId="1" applyFont="1" applyFill="1" applyBorder="1"/>
    <xf numFmtId="43" fontId="2" fillId="0" borderId="2" xfId="1" applyFont="1" applyBorder="1" applyAlignment="1">
      <alignment horizontal="center"/>
    </xf>
    <xf numFmtId="0" fontId="28" fillId="0" borderId="9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B1F5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259</xdr:row>
      <xdr:rowOff>66675</xdr:rowOff>
    </xdr:from>
    <xdr:to>
      <xdr:col>1</xdr:col>
      <xdr:colOff>2209038</xdr:colOff>
      <xdr:row>265</xdr:row>
      <xdr:rowOff>145273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77FCC-3ED2-4A4C-A1B9-F73EA904B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9631" y1="47320" x2="59631" y2="47320"/>
                      <a14:foregroundMark x1="60686" y1="56562" x2="60686" y2="56562"/>
                      <a14:foregroundMark x1="69393" y1="59519" x2="69393" y2="5951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4145875"/>
          <a:ext cx="1732788" cy="12215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y%20Drive\1.%20REPORTS\12.%20QUARTERLY%20BFARs\FY%202022\Fourth%20Quarter\FAR%201%20-Current%20(4thQTR%20FY%202022).xlsx" TargetMode="External"/><Relationship Id="rId1" Type="http://schemas.openxmlformats.org/officeDocument/2006/relationships/externalLinkPath" Target="file:///G:\My%20Drive\1.%20REPORTS\12.%20QUARTERLY%20BFARs\FY%202022\Fourth%20Quarter\FAR%201%20-Current%20(4thQTR%20FY%20202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y%20Drive\1.%20REPORTS\12.%20QUARTERLY%20BFARs\BFARs%20FY%202023\BFARs%204th%20QTR%20FY%202023\Downloaded%20excel%20from%20DBM%20URS\FAR%201%20-%20FY%202023.xlsx" TargetMode="External"/><Relationship Id="rId1" Type="http://schemas.openxmlformats.org/officeDocument/2006/relationships/externalLinkPath" Target="file:///G:\My%20Drive\1.%20REPORTS\12.%20QUARTERLY%20BFARs\BFARs%20FY%202023\BFARs%204th%20QTR%20FY%202023\Downloaded%20excel%20from%20DBM%20URS\FAR%201%20-%20F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y%20Drive\1.%20REPORTS\12.%20QUARTERLY%20BFARs\BFAR's%20FY%202024\4th%20Quarter%20FY%202024\FAR%201_FAR%201A%204th%20Quarter%20FY%202024.xlsx" TargetMode="External"/><Relationship Id="rId1" Type="http://schemas.openxmlformats.org/officeDocument/2006/relationships/externalLinkPath" Target="file:///G:\My%20Drive\1.%20REPORTS\12.%20QUARTERLY%20BFARs\BFAR's%20FY%202024\4th%20Quarter%20FY%202024\FAR%201_FAR%201A%204th%20Quarter%20F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1.%20REPORTS\1.%20FUNDS%20MONITORING\1.%20REGULAR%20AGENCY%20FUND\RAF%202025\12.%20DECEMBER%20'25\2.%20SAOB-RAF%20-%20December%202025%20(final%20data%20for%20BFAR).xlsx" TargetMode="External"/><Relationship Id="rId1" Type="http://schemas.openxmlformats.org/officeDocument/2006/relationships/externalLinkPath" Target="file:///G:\My%20Drive\1.%20REPORTS\1.%20FUNDS%20MONITORING\1.%20REGULAR%20AGENCY%20FUND\RAF%202025\12.%20DECEMBER%20'25\2.%20SAOB-RAF%20-%20December%202025%20(final%20data%20for%20BFA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r1_report"/>
    </sheetNames>
    <sheetDataSet>
      <sheetData sheetId="0">
        <row r="232">
          <cell r="T232" t="str">
            <v>546,592,271.00</v>
          </cell>
          <cell r="AB232" t="str">
            <v>517,069,510.43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r1_report"/>
    </sheetNames>
    <sheetDataSet>
      <sheetData sheetId="0">
        <row r="154">
          <cell r="T154">
            <v>601307574</v>
          </cell>
          <cell r="AA154">
            <v>594024235.74000001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RO"/>
      <sheetName val="REalign-GMS"/>
      <sheetName val="Realign-STO"/>
      <sheetName val="Realign-HED"/>
      <sheetName val="REalign-GS"/>
      <sheetName val="Realign-RS"/>
      <sheetName val="Realign-ES"/>
      <sheetName val="Realign-Proj"/>
      <sheetName val="SYS-CC"/>
      <sheetName val="SYS-MFO"/>
      <sheetName val="FAR1"/>
      <sheetName val="FUNDSAOB"/>
      <sheetName val="FAR1-A"/>
      <sheetName val="Sheet1"/>
      <sheetName val="January"/>
      <sheetName val="February"/>
      <sheetName val="March"/>
      <sheetName val="GAA per Cost Center"/>
      <sheetName val="Unpaid 1stQTR"/>
      <sheetName val="SUMMARY Unpa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K103">
            <v>785749134</v>
          </cell>
          <cell r="P103">
            <v>783641072.65999997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 Savings"/>
      <sheetName val="FUNDSAOB"/>
      <sheetName val="Sheet6"/>
      <sheetName val="Sheet2"/>
      <sheetName val="SYS-MFO"/>
      <sheetName val="SYS-CC"/>
      <sheetName val="BFARS"/>
      <sheetName val="MOOE Realignment"/>
      <sheetName val="MOOE-Realignment-a"/>
      <sheetName val="MOOE-GMS Realignment"/>
      <sheetName val="CNA-Details"/>
      <sheetName val="GAA-SARO Details"/>
      <sheetName val="PS-GMS Realighnment"/>
      <sheetName val="PS-HED-Realignment"/>
      <sheetName val="Sheet4"/>
      <sheetName val="Jan"/>
      <sheetName val="Feb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Monitoring_Accounting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568">
          <cell r="O568">
            <v>1384768708</v>
          </cell>
          <cell r="T568">
            <v>1358123844.4300003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265"/>
  <sheetViews>
    <sheetView tabSelected="1" zoomScale="90" zoomScaleNormal="90" zoomScaleSheetLayoutView="100" workbookViewId="0">
      <pane xSplit="23" ySplit="9" topLeftCell="AD210" activePane="bottomRight" state="frozen"/>
      <selection pane="topRight" activeCell="X1" sqref="X1"/>
      <selection pane="bottomLeft" activeCell="A10" sqref="A10"/>
      <selection pane="bottomRight" activeCell="A216" sqref="A216"/>
    </sheetView>
  </sheetViews>
  <sheetFormatPr defaultRowHeight="15" x14ac:dyDescent="0.25"/>
  <cols>
    <col min="1" max="1" width="5.28515625" customWidth="1"/>
    <col min="2" max="2" width="42.5703125" customWidth="1"/>
    <col min="3" max="4" width="16.28515625" style="1" hidden="1" customWidth="1"/>
    <col min="5" max="5" width="9" style="1" hidden="1" customWidth="1"/>
    <col min="6" max="7" width="16.85546875" style="1" hidden="1" customWidth="1"/>
    <col min="8" max="8" width="9.28515625" style="1" hidden="1" customWidth="1"/>
    <col min="9" max="9" width="16.85546875" hidden="1" customWidth="1"/>
    <col min="10" max="10" width="16.85546875" style="1" hidden="1" customWidth="1"/>
    <col min="11" max="11" width="10.140625" style="1" hidden="1" customWidth="1"/>
    <col min="12" max="13" width="16.42578125" style="1" hidden="1" customWidth="1"/>
    <col min="14" max="14" width="9.85546875" style="1" hidden="1" customWidth="1"/>
    <col min="15" max="15" width="17.28515625" style="1" hidden="1" customWidth="1"/>
    <col min="16" max="16" width="16.140625" style="1" hidden="1" customWidth="1"/>
    <col min="17" max="17" width="9.42578125" style="1" hidden="1" customWidth="1"/>
    <col min="18" max="19" width="17.140625" style="1" hidden="1" customWidth="1"/>
    <col min="20" max="20" width="8.28515625" style="1" hidden="1" customWidth="1"/>
    <col min="21" max="22" width="16.85546875" style="1" hidden="1" customWidth="1"/>
    <col min="23" max="23" width="11" style="1" hidden="1" customWidth="1"/>
    <col min="24" max="24" width="16" style="1" customWidth="1"/>
    <col min="25" max="25" width="15" style="1" customWidth="1"/>
    <col min="26" max="26" width="12.28515625" style="1" customWidth="1"/>
    <col min="27" max="27" width="14.85546875" style="1" customWidth="1"/>
    <col min="28" max="28" width="16.140625" style="1" customWidth="1"/>
    <col min="29" max="29" width="13.140625" style="1" customWidth="1"/>
    <col min="30" max="30" width="16.140625" style="1" bestFit="1" customWidth="1"/>
    <col min="31" max="31" width="16.140625" style="1" customWidth="1"/>
    <col min="32" max="32" width="9.85546875" style="1" customWidth="1"/>
    <col min="33" max="34" width="16.140625" style="1" customWidth="1"/>
    <col min="35" max="35" width="9.85546875" style="1" customWidth="1"/>
    <col min="36" max="37" width="16.140625" style="1" bestFit="1" customWidth="1"/>
    <col min="38" max="38" width="9.85546875" style="1" bestFit="1" customWidth="1"/>
    <col min="39" max="40" width="17.7109375" style="1" bestFit="1" customWidth="1"/>
    <col min="41" max="41" width="9.85546875" style="1" bestFit="1" customWidth="1"/>
  </cols>
  <sheetData>
    <row r="1" spans="1:41" ht="21" x14ac:dyDescent="0.35">
      <c r="A1" s="7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ht="21" x14ac:dyDescent="0.3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ht="12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9"/>
      <c r="K3" s="9"/>
      <c r="L3" s="9"/>
      <c r="M3" s="9"/>
      <c r="N3" s="9"/>
      <c r="O3" s="9"/>
      <c r="P3" s="9"/>
      <c r="Q3" s="9"/>
      <c r="S3"/>
      <c r="T3"/>
      <c r="V3"/>
      <c r="W3"/>
      <c r="Y3"/>
      <c r="Z3"/>
      <c r="AB3"/>
      <c r="AC3"/>
      <c r="AE3"/>
      <c r="AF3"/>
      <c r="AH3"/>
      <c r="AI3"/>
      <c r="AK3"/>
      <c r="AL3"/>
      <c r="AN3"/>
      <c r="AO3"/>
    </row>
    <row r="4" spans="1:41" ht="23.25" hidden="1" x14ac:dyDescent="0.35">
      <c r="A4" s="65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ht="23.25" x14ac:dyDescent="0.35">
      <c r="A5" s="65" t="s">
        <v>88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ht="23.25" x14ac:dyDescent="0.35">
      <c r="A6" s="11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64"/>
      <c r="AK6" s="10"/>
      <c r="AL6" s="10"/>
      <c r="AM6" s="10"/>
      <c r="AN6" s="10"/>
      <c r="AO6" s="10"/>
    </row>
    <row r="8" spans="1:41" ht="17.25" customHeight="1" x14ac:dyDescent="0.25">
      <c r="A8" s="28"/>
      <c r="B8" s="29"/>
      <c r="C8" s="181" t="s">
        <v>30</v>
      </c>
      <c r="D8" s="181"/>
      <c r="E8" s="181"/>
      <c r="F8" s="181" t="s">
        <v>21</v>
      </c>
      <c r="G8" s="181"/>
      <c r="H8" s="181"/>
      <c r="I8" s="181" t="s">
        <v>3</v>
      </c>
      <c r="J8" s="181"/>
      <c r="K8" s="181"/>
      <c r="L8" s="181" t="s">
        <v>4</v>
      </c>
      <c r="M8" s="181"/>
      <c r="N8" s="181"/>
      <c r="O8" s="181" t="s">
        <v>5</v>
      </c>
      <c r="P8" s="181"/>
      <c r="Q8" s="181"/>
      <c r="R8" s="181" t="s">
        <v>37</v>
      </c>
      <c r="S8" s="181"/>
      <c r="T8" s="181"/>
      <c r="U8" s="181" t="s">
        <v>38</v>
      </c>
      <c r="V8" s="181"/>
      <c r="W8" s="181"/>
      <c r="X8" s="181" t="s">
        <v>39</v>
      </c>
      <c r="Y8" s="181"/>
      <c r="Z8" s="181"/>
      <c r="AA8" s="181" t="s">
        <v>41</v>
      </c>
      <c r="AB8" s="181"/>
      <c r="AC8" s="181"/>
      <c r="AD8" s="181" t="s">
        <v>54</v>
      </c>
      <c r="AE8" s="181"/>
      <c r="AF8" s="181"/>
      <c r="AG8" s="181" t="s">
        <v>53</v>
      </c>
      <c r="AH8" s="181"/>
      <c r="AI8" s="181"/>
      <c r="AJ8" s="181" t="s">
        <v>52</v>
      </c>
      <c r="AK8" s="181"/>
      <c r="AL8" s="181"/>
      <c r="AM8" s="181" t="s">
        <v>102</v>
      </c>
      <c r="AN8" s="181"/>
      <c r="AO8" s="181"/>
    </row>
    <row r="9" spans="1:41" s="108" customFormat="1" ht="32.25" customHeight="1" thickBot="1" x14ac:dyDescent="0.3">
      <c r="A9" s="105"/>
      <c r="B9" s="106"/>
      <c r="C9" s="107" t="s">
        <v>25</v>
      </c>
      <c r="D9" s="107" t="s">
        <v>29</v>
      </c>
      <c r="E9" s="107" t="s">
        <v>35</v>
      </c>
      <c r="F9" s="107" t="s">
        <v>25</v>
      </c>
      <c r="G9" s="107" t="s">
        <v>29</v>
      </c>
      <c r="H9" s="107" t="s">
        <v>35</v>
      </c>
      <c r="I9" s="107" t="s">
        <v>25</v>
      </c>
      <c r="J9" s="107" t="s">
        <v>29</v>
      </c>
      <c r="K9" s="107" t="s">
        <v>35</v>
      </c>
      <c r="L9" s="107" t="s">
        <v>25</v>
      </c>
      <c r="M9" s="107" t="s">
        <v>29</v>
      </c>
      <c r="N9" s="107" t="s">
        <v>35</v>
      </c>
      <c r="O9" s="107" t="s">
        <v>25</v>
      </c>
      <c r="P9" s="107" t="s">
        <v>29</v>
      </c>
      <c r="Q9" s="107" t="s">
        <v>35</v>
      </c>
      <c r="R9" s="107" t="s">
        <v>25</v>
      </c>
      <c r="S9" s="107" t="s">
        <v>29</v>
      </c>
      <c r="T9" s="107" t="s">
        <v>35</v>
      </c>
      <c r="U9" s="107" t="s">
        <v>25</v>
      </c>
      <c r="V9" s="107" t="s">
        <v>29</v>
      </c>
      <c r="W9" s="107" t="s">
        <v>35</v>
      </c>
      <c r="X9" s="107" t="s">
        <v>25</v>
      </c>
      <c r="Y9" s="107" t="s">
        <v>29</v>
      </c>
      <c r="Z9" s="107" t="s">
        <v>35</v>
      </c>
      <c r="AA9" s="107" t="s">
        <v>25</v>
      </c>
      <c r="AB9" s="107" t="s">
        <v>29</v>
      </c>
      <c r="AC9" s="107" t="s">
        <v>35</v>
      </c>
      <c r="AD9" s="107" t="s">
        <v>25</v>
      </c>
      <c r="AE9" s="107" t="s">
        <v>43</v>
      </c>
      <c r="AF9" s="107" t="s">
        <v>35</v>
      </c>
      <c r="AG9" s="107" t="s">
        <v>25</v>
      </c>
      <c r="AH9" s="107" t="s">
        <v>43</v>
      </c>
      <c r="AI9" s="107" t="s">
        <v>35</v>
      </c>
      <c r="AJ9" s="107" t="s">
        <v>25</v>
      </c>
      <c r="AK9" s="107" t="s">
        <v>43</v>
      </c>
      <c r="AL9" s="107" t="s">
        <v>35</v>
      </c>
      <c r="AM9" s="107" t="s">
        <v>25</v>
      </c>
      <c r="AN9" s="107" t="s">
        <v>43</v>
      </c>
      <c r="AO9" s="107" t="s">
        <v>35</v>
      </c>
    </row>
    <row r="10" spans="1:41" ht="18.75" x14ac:dyDescent="0.3">
      <c r="A10" s="32" t="s">
        <v>15</v>
      </c>
      <c r="B10" s="33"/>
      <c r="C10" s="14"/>
      <c r="D10" s="14"/>
      <c r="E10" s="14"/>
      <c r="F10" s="14"/>
      <c r="G10" s="14"/>
      <c r="H10" s="14"/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</row>
    <row r="11" spans="1:41" x14ac:dyDescent="0.25">
      <c r="A11" s="34" t="s">
        <v>6</v>
      </c>
      <c r="B11" s="33"/>
      <c r="C11" s="14"/>
      <c r="D11" s="14"/>
      <c r="E11" s="14"/>
      <c r="F11" s="14"/>
      <c r="G11" s="14"/>
      <c r="H11" s="14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</row>
    <row r="12" spans="1:41" x14ac:dyDescent="0.25">
      <c r="A12" s="35"/>
      <c r="B12" s="33" t="s">
        <v>44</v>
      </c>
      <c r="C12" s="14"/>
      <c r="D12" s="14"/>
      <c r="E12" s="14"/>
      <c r="F12" s="14"/>
      <c r="G12" s="14"/>
      <c r="H12" s="14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spans="1:41" x14ac:dyDescent="0.25">
      <c r="A13" s="35"/>
      <c r="B13" s="36" t="s">
        <v>7</v>
      </c>
      <c r="C13" s="14">
        <v>13275808</v>
      </c>
      <c r="D13" s="14">
        <v>13226239.810000001</v>
      </c>
      <c r="E13" s="16">
        <f>D13/C13</f>
        <v>0.99626627697538261</v>
      </c>
      <c r="F13" s="14">
        <f>12253296.45+1061960-F18</f>
        <v>13260256.449999999</v>
      </c>
      <c r="G13" s="14">
        <f>11125709.36+1088923.38-G18</f>
        <v>12119322.139999999</v>
      </c>
      <c r="H13" s="16">
        <f>G13/F13</f>
        <v>0.91395835259279612</v>
      </c>
      <c r="I13" s="14">
        <f>11909459+946000+761785-I18</f>
        <v>13169972.300000001</v>
      </c>
      <c r="J13" s="14">
        <f>11526764.17+946000+761785-J18</f>
        <v>13169972.17</v>
      </c>
      <c r="K13" s="16">
        <f>J13/I13</f>
        <v>0.99999999012906038</v>
      </c>
      <c r="L13" s="14">
        <f>20166962+1145000+2678189-84000-L18</f>
        <v>20688593.460000001</v>
      </c>
      <c r="M13" s="14">
        <f>20275962+1145000+2678189-84000-M18</f>
        <v>20797593.460000001</v>
      </c>
      <c r="N13" s="16">
        <f>M13/L13</f>
        <v>1.0052686036975276</v>
      </c>
      <c r="O13" s="14">
        <f>24590346-O18</f>
        <v>21409967</v>
      </c>
      <c r="P13" s="14">
        <f>24589479.54-P18</f>
        <v>22081013.609999999</v>
      </c>
      <c r="Q13" s="16">
        <f>P13/O13</f>
        <v>1.0313427204254915</v>
      </c>
      <c r="R13" s="14">
        <f>27399576-R18</f>
        <v>25305022.41</v>
      </c>
      <c r="S13" s="14">
        <f>27399576-S18</f>
        <v>25305022.41</v>
      </c>
      <c r="T13" s="16">
        <f>S13/R13</f>
        <v>1</v>
      </c>
      <c r="U13" s="14">
        <f>19095571+6587332+1646870+7297864-U18</f>
        <v>33462728</v>
      </c>
      <c r="V13" s="14">
        <f>19095571+6587332+1646870+7297864-V18</f>
        <v>32989536.48</v>
      </c>
      <c r="W13" s="16">
        <f>V13/U13</f>
        <v>0.98585914692908483</v>
      </c>
      <c r="X13" s="14">
        <f>26612324.67-X18</f>
        <v>25066635.670000002</v>
      </c>
      <c r="Y13" s="14">
        <f>26612324.67-Y18</f>
        <v>25066635.020000003</v>
      </c>
      <c r="Z13" s="16">
        <f>Y13/X13</f>
        <v>0.99999997406911689</v>
      </c>
      <c r="AA13" s="14">
        <f>45959688.74-AA18</f>
        <v>38285002.07</v>
      </c>
      <c r="AB13" s="14">
        <f>45959688.74-AB18</f>
        <v>38285002.870000005</v>
      </c>
      <c r="AC13" s="16">
        <f>AB13/AA13</f>
        <v>1.0000000208959112</v>
      </c>
      <c r="AD13" s="14">
        <f>37054165.83-AD18+8683360</f>
        <v>39221479.909999996</v>
      </c>
      <c r="AE13" s="14">
        <f>37054165.83-AE18</f>
        <v>30538119.909999996</v>
      </c>
      <c r="AF13" s="16">
        <f>AE13/AD13</f>
        <v>0.77860702808957316</v>
      </c>
      <c r="AG13" s="14">
        <f>59375834.08-AG18</f>
        <v>51870177.869999997</v>
      </c>
      <c r="AH13" s="14">
        <f>57176942.37-AH18</f>
        <v>49671286.159999996</v>
      </c>
      <c r="AI13" s="16">
        <f>AH13/AG13</f>
        <v>0.95760778543094671</v>
      </c>
      <c r="AJ13" s="14">
        <f>125861259.61-AJ18</f>
        <v>116707693.94</v>
      </c>
      <c r="AK13" s="14">
        <f>125861259.15-AK18</f>
        <v>116707693.48</v>
      </c>
      <c r="AL13" s="16">
        <f>AK13/AJ13</f>
        <v>0.99999999605852896</v>
      </c>
      <c r="AM13" s="14">
        <v>117975659.17</v>
      </c>
      <c r="AN13" s="14">
        <v>117501359.06</v>
      </c>
      <c r="AO13" s="16">
        <f>AN13/AM13</f>
        <v>0.99597967823755451</v>
      </c>
    </row>
    <row r="14" spans="1:41" x14ac:dyDescent="0.25">
      <c r="A14" s="35"/>
      <c r="B14" s="36" t="s">
        <v>8</v>
      </c>
      <c r="C14" s="14">
        <v>18889000</v>
      </c>
      <c r="D14" s="14">
        <v>18748530.530000001</v>
      </c>
      <c r="E14" s="16">
        <f>D14/C14</f>
        <v>0.99256342474456039</v>
      </c>
      <c r="F14" s="14">
        <f>18003000-605296.45</f>
        <v>17397703.550000001</v>
      </c>
      <c r="G14" s="14">
        <v>16242103.550000003</v>
      </c>
      <c r="H14" s="16">
        <f>G14/F14</f>
        <v>0.93357744045477786</v>
      </c>
      <c r="I14" s="14">
        <f>18926541-I19</f>
        <v>18380991.399999999</v>
      </c>
      <c r="J14" s="14">
        <f>18325802.21-J19</f>
        <v>17780252.609999999</v>
      </c>
      <c r="K14" s="16">
        <f>J14/I14</f>
        <v>0.96731738909360465</v>
      </c>
      <c r="L14" s="14">
        <f>17357038-L19</f>
        <v>14392595.539999999</v>
      </c>
      <c r="M14" s="14">
        <f>17200843.27-M19</f>
        <v>14316403.98</v>
      </c>
      <c r="N14" s="16">
        <f>M14/L14</f>
        <v>0.99470619737848909</v>
      </c>
      <c r="O14" s="14">
        <f>19488998-O19</f>
        <v>15787149</v>
      </c>
      <c r="P14" s="14">
        <f>19488998-P19</f>
        <v>15809313.720000001</v>
      </c>
      <c r="Q14" s="16">
        <f>P14/O14</f>
        <v>1.0014039723068429</v>
      </c>
      <c r="R14" s="14">
        <f>28317756-R19</f>
        <v>22816337.039999999</v>
      </c>
      <c r="S14" s="14">
        <f>28311860.36-S19</f>
        <v>22810440.350000001</v>
      </c>
      <c r="T14" s="16">
        <f>S14/R14</f>
        <v>0.99974155842852164</v>
      </c>
      <c r="U14" s="14">
        <f>34889232-U19</f>
        <v>28570091.91</v>
      </c>
      <c r="V14" s="14">
        <f>34857756.36-V19</f>
        <v>28556238.5</v>
      </c>
      <c r="W14" s="16">
        <f>V14/U14</f>
        <v>0.99951510796522325</v>
      </c>
      <c r="X14" s="14">
        <f>23256143.34-X19</f>
        <v>17708537.34</v>
      </c>
      <c r="Y14" s="14">
        <f>23256143.34-Y19</f>
        <v>17708538</v>
      </c>
      <c r="Z14" s="16">
        <f>Y14/X14</f>
        <v>1.000000037270159</v>
      </c>
      <c r="AA14" s="14">
        <f>47426798.26-AA19</f>
        <v>35540885.629999995</v>
      </c>
      <c r="AB14" s="14">
        <f>47426798.26-AB19</f>
        <v>35540885.629999995</v>
      </c>
      <c r="AC14" s="16">
        <f>AB14/AA14</f>
        <v>1</v>
      </c>
      <c r="AD14" s="14">
        <f>45578441.17-AD19</f>
        <v>34330303.050000004</v>
      </c>
      <c r="AE14" s="14">
        <f>45577949.11-AE19</f>
        <v>34330207.960000001</v>
      </c>
      <c r="AF14" s="16">
        <f>AE14/AD14</f>
        <v>0.99999723014387998</v>
      </c>
      <c r="AG14" s="14">
        <f>47678609.92-AG19</f>
        <v>34487885.939999998</v>
      </c>
      <c r="AH14" s="14">
        <f>47678609.92-AH19</f>
        <v>34487885.939999998</v>
      </c>
      <c r="AI14" s="16">
        <f>AH14/AG14</f>
        <v>1</v>
      </c>
      <c r="AJ14" s="14">
        <f>47423143.39-AJ19</f>
        <v>31953822.93</v>
      </c>
      <c r="AK14" s="14">
        <f>47423143.39-AK19</f>
        <v>31953822.93</v>
      </c>
      <c r="AL14" s="16">
        <f>AK14/AJ14</f>
        <v>1</v>
      </c>
      <c r="AM14" s="14">
        <v>34876585.049999997</v>
      </c>
      <c r="AN14" s="14">
        <v>34876585.049999997</v>
      </c>
      <c r="AO14" s="16">
        <f>AN14/AM14</f>
        <v>1</v>
      </c>
    </row>
    <row r="15" spans="1:41" hidden="1" x14ac:dyDescent="0.25">
      <c r="A15" s="35"/>
      <c r="B15" s="36" t="s">
        <v>42</v>
      </c>
      <c r="C15" s="14"/>
      <c r="D15" s="14"/>
      <c r="E15" s="16"/>
      <c r="F15" s="14"/>
      <c r="G15" s="14"/>
      <c r="H15" s="16"/>
      <c r="I15" s="14"/>
      <c r="J15" s="14"/>
      <c r="K15" s="16"/>
      <c r="L15" s="14"/>
      <c r="M15" s="14"/>
      <c r="N15" s="16"/>
      <c r="O15" s="14"/>
      <c r="P15" s="14"/>
      <c r="Q15" s="16"/>
      <c r="R15" s="14"/>
      <c r="S15" s="14"/>
      <c r="T15" s="16"/>
      <c r="U15" s="14"/>
      <c r="V15" s="14"/>
      <c r="W15" s="16"/>
      <c r="X15" s="14"/>
      <c r="Y15" s="14"/>
      <c r="Z15" s="16"/>
      <c r="AA15" s="14"/>
      <c r="AB15" s="14"/>
      <c r="AC15" s="16"/>
      <c r="AD15" s="14"/>
      <c r="AE15" s="14"/>
      <c r="AF15" s="16"/>
      <c r="AG15" s="14"/>
      <c r="AH15" s="14"/>
      <c r="AI15" s="16"/>
      <c r="AJ15" s="14"/>
      <c r="AK15" s="14"/>
      <c r="AL15" s="16"/>
      <c r="AM15" s="14"/>
      <c r="AN15" s="14"/>
      <c r="AO15" s="16"/>
    </row>
    <row r="16" spans="1:41" x14ac:dyDescent="0.25">
      <c r="A16" s="35"/>
      <c r="B16" s="54" t="s">
        <v>46</v>
      </c>
      <c r="C16" s="17">
        <f>SUM(C13:C14)</f>
        <v>32164808</v>
      </c>
      <c r="D16" s="17">
        <f>SUM(D13:D14)</f>
        <v>31974770.340000004</v>
      </c>
      <c r="E16" s="16">
        <f>D16/C16</f>
        <v>0.99409175207885603</v>
      </c>
      <c r="F16" s="17">
        <f>SUM(F13:F14)</f>
        <v>30657960</v>
      </c>
      <c r="G16" s="17">
        <f>SUM(G13:G14)</f>
        <v>28361425.690000001</v>
      </c>
      <c r="H16" s="16">
        <f>G16/F16</f>
        <v>0.92509174419954887</v>
      </c>
      <c r="I16" s="17">
        <f>SUM(I13:I14)</f>
        <v>31550963.699999999</v>
      </c>
      <c r="J16" s="17">
        <f>SUM(J13:J14)</f>
        <v>30950224.780000001</v>
      </c>
      <c r="K16" s="16">
        <f>J16/I16</f>
        <v>0.98095972833945488</v>
      </c>
      <c r="L16" s="17">
        <f>SUM(L13:L14)</f>
        <v>35081189</v>
      </c>
      <c r="M16" s="17">
        <f>SUM(M13:M14)</f>
        <v>35113997.439999998</v>
      </c>
      <c r="N16" s="16">
        <f>M16/L16</f>
        <v>1.0009352145960617</v>
      </c>
      <c r="O16" s="17">
        <f>SUM(O13:O14)</f>
        <v>37197116</v>
      </c>
      <c r="P16" s="17">
        <f>SUM(P13:P14)</f>
        <v>37890327.329999998</v>
      </c>
      <c r="Q16" s="16">
        <f>P16/O16</f>
        <v>1.0186361579752581</v>
      </c>
      <c r="R16" s="17">
        <f>SUM(R13:R15)</f>
        <v>48121359.450000003</v>
      </c>
      <c r="S16" s="17">
        <f>SUM(S13:S15)</f>
        <v>48115462.760000005</v>
      </c>
      <c r="T16" s="16">
        <f>S16/R16</f>
        <v>0.99987746210690231</v>
      </c>
      <c r="U16" s="17">
        <f>SUM(U13:U14)</f>
        <v>62032819.909999996</v>
      </c>
      <c r="V16" s="17">
        <f>SUM(V13:V14)</f>
        <v>61545774.980000004</v>
      </c>
      <c r="W16" s="16">
        <f>V16/U16</f>
        <v>0.9921485927819077</v>
      </c>
      <c r="X16" s="17">
        <f>SUM(X13:X14)</f>
        <v>42775173.010000005</v>
      </c>
      <c r="Y16" s="17">
        <f>SUM(Y13:Y14)</f>
        <v>42775173.020000003</v>
      </c>
      <c r="Z16" s="167">
        <f>Y16/X16</f>
        <v>1.0000000002337803</v>
      </c>
      <c r="AA16" s="17">
        <f>SUM(AA13:AA14)</f>
        <v>73825887.699999988</v>
      </c>
      <c r="AB16" s="17">
        <f>SUM(AB13:AB14)</f>
        <v>73825888.5</v>
      </c>
      <c r="AC16" s="167">
        <f>AB16/AA16</f>
        <v>1.0000000108363074</v>
      </c>
      <c r="AD16" s="17">
        <f>SUM(AD13:AD14)</f>
        <v>73551782.960000008</v>
      </c>
      <c r="AE16" s="17">
        <f>SUM(AE13:AE14)</f>
        <v>64868327.869999997</v>
      </c>
      <c r="AF16" s="167">
        <f>AE16/AD16</f>
        <v>0.88194093004213947</v>
      </c>
      <c r="AG16" s="17">
        <f>SUM(AG13:AG14)</f>
        <v>86358063.810000002</v>
      </c>
      <c r="AH16" s="17">
        <f>SUM(AH13:AH14)</f>
        <v>84159172.099999994</v>
      </c>
      <c r="AI16" s="167">
        <f>AH16/AG16</f>
        <v>0.97453750567129571</v>
      </c>
      <c r="AJ16" s="17">
        <f>SUM(AJ13:AJ14)</f>
        <v>148661516.87</v>
      </c>
      <c r="AK16" s="17">
        <f>SUM(AK13:AK14)</f>
        <v>148661516.41</v>
      </c>
      <c r="AL16" s="167">
        <f>AK16/AJ16</f>
        <v>0.99999999690572239</v>
      </c>
      <c r="AM16" s="17">
        <f>SUM(AM13:AM14)</f>
        <v>152852244.22</v>
      </c>
      <c r="AN16" s="17">
        <f>SUM(AN13:AN14)</f>
        <v>152377944.11000001</v>
      </c>
      <c r="AO16" s="167">
        <f>AN16/AM16</f>
        <v>0.99689700264186287</v>
      </c>
    </row>
    <row r="17" spans="1:41" ht="22.5" customHeight="1" x14ac:dyDescent="0.25">
      <c r="A17" s="35"/>
      <c r="B17" s="33" t="s">
        <v>45</v>
      </c>
      <c r="C17" s="14"/>
      <c r="D17" s="14"/>
      <c r="E17" s="14"/>
      <c r="F17" s="14"/>
      <c r="G17" s="14"/>
      <c r="H17" s="14"/>
      <c r="I17" s="13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</row>
    <row r="18" spans="1:41" x14ac:dyDescent="0.25">
      <c r="A18" s="35"/>
      <c r="B18" s="36" t="s">
        <v>7</v>
      </c>
      <c r="C18" s="14"/>
      <c r="D18" s="14"/>
      <c r="E18" s="16" t="e">
        <f>D18/C18</f>
        <v>#DIV/0!</v>
      </c>
      <c r="F18" s="14">
        <v>55000</v>
      </c>
      <c r="G18" s="14">
        <v>95310.6</v>
      </c>
      <c r="H18" s="16">
        <f>G18/F18</f>
        <v>1.73292</v>
      </c>
      <c r="I18" s="14">
        <v>447271.7</v>
      </c>
      <c r="J18" s="14">
        <v>64577</v>
      </c>
      <c r="K18" s="16">
        <f>J18/I18</f>
        <v>0.14437980314873486</v>
      </c>
      <c r="L18" s="14">
        <f>3166557.54+51000</f>
        <v>3217557.54</v>
      </c>
      <c r="M18" s="14">
        <f>3166557.54+51000</f>
        <v>3217557.54</v>
      </c>
      <c r="N18" s="16">
        <f>M18/L18</f>
        <v>1</v>
      </c>
      <c r="O18" s="14">
        <v>3180379</v>
      </c>
      <c r="P18" s="14">
        <v>2508465.9299999997</v>
      </c>
      <c r="Q18" s="16">
        <f>P18/O18</f>
        <v>0.78873176121462241</v>
      </c>
      <c r="R18" s="14">
        <v>2094553.59</v>
      </c>
      <c r="S18" s="14">
        <v>2094553.59</v>
      </c>
      <c r="T18" s="16">
        <f>S18/R18</f>
        <v>1</v>
      </c>
      <c r="U18" s="14">
        <v>1164909</v>
      </c>
      <c r="V18" s="14">
        <v>1638100.5199999998</v>
      </c>
      <c r="W18" s="16">
        <f>V18/U18</f>
        <v>1.4062047078355475</v>
      </c>
      <c r="X18" s="14">
        <v>1545689</v>
      </c>
      <c r="Y18" s="14">
        <v>1545689.65</v>
      </c>
      <c r="Z18" s="16">
        <f t="shared" ref="Z18:Z24" si="0">Y18/X18</f>
        <v>1.0000004205244393</v>
      </c>
      <c r="AA18" s="14">
        <v>7674686.6699999999</v>
      </c>
      <c r="AB18" s="14">
        <v>7674685.8700000001</v>
      </c>
      <c r="AC18" s="16">
        <f t="shared" ref="AC18:AC24" si="1">AB18/AA18</f>
        <v>0.99999989576121684</v>
      </c>
      <c r="AD18" s="14">
        <v>6516045.9199999999</v>
      </c>
      <c r="AE18" s="14">
        <v>6516045.9199999999</v>
      </c>
      <c r="AF18" s="16">
        <f t="shared" ref="AF18:AF24" si="2">AE18/AD18</f>
        <v>1</v>
      </c>
      <c r="AG18" s="14">
        <v>7505656.21</v>
      </c>
      <c r="AH18" s="14">
        <v>7505656.21</v>
      </c>
      <c r="AI18" s="16">
        <f t="shared" ref="AI18:AI24" si="3">AH18/AG18</f>
        <v>1</v>
      </c>
      <c r="AJ18" s="14">
        <v>9153565.6699999999</v>
      </c>
      <c r="AK18" s="14">
        <v>9153565.6699999999</v>
      </c>
      <c r="AL18" s="16">
        <f t="shared" ref="AL18:AL24" si="4">AK18/AJ18</f>
        <v>1</v>
      </c>
      <c r="AM18" s="14">
        <v>6182633.9299999997</v>
      </c>
      <c r="AN18" s="14">
        <f>AM18</f>
        <v>6182633.9299999997</v>
      </c>
      <c r="AO18" s="16">
        <f t="shared" ref="AO18:AO24" si="5">AN18/AM18</f>
        <v>1</v>
      </c>
    </row>
    <row r="19" spans="1:41" x14ac:dyDescent="0.25">
      <c r="A19" s="35"/>
      <c r="B19" s="36" t="s">
        <v>8</v>
      </c>
      <c r="C19" s="14"/>
      <c r="D19" s="14"/>
      <c r="E19" s="16" t="e">
        <f>D19/C19</f>
        <v>#DIV/0!</v>
      </c>
      <c r="F19" s="14"/>
      <c r="G19" s="14"/>
      <c r="H19" s="16" t="e">
        <f>G19/F19</f>
        <v>#DIV/0!</v>
      </c>
      <c r="I19" s="14">
        <v>545549.6</v>
      </c>
      <c r="J19" s="14">
        <v>545549.6</v>
      </c>
      <c r="K19" s="16">
        <f>J19/I19</f>
        <v>1</v>
      </c>
      <c r="L19" s="14">
        <v>2964442.46</v>
      </c>
      <c r="M19" s="14">
        <v>2884439.29</v>
      </c>
      <c r="N19" s="16">
        <f>M19/L19</f>
        <v>0.97301240584713522</v>
      </c>
      <c r="O19" s="14">
        <v>3701849</v>
      </c>
      <c r="P19" s="14">
        <v>3679684.28</v>
      </c>
      <c r="Q19" s="16">
        <f>P19/O19</f>
        <v>0.9940125272532726</v>
      </c>
      <c r="R19" s="14">
        <v>5501418.96</v>
      </c>
      <c r="S19" s="14">
        <v>5501420.0099999998</v>
      </c>
      <c r="T19" s="16">
        <f>S19/R19</f>
        <v>1.0000001908598504</v>
      </c>
      <c r="U19" s="14">
        <v>6319140.0899999999</v>
      </c>
      <c r="V19" s="14">
        <v>6301517.8600000003</v>
      </c>
      <c r="W19" s="16">
        <f>V19/U19</f>
        <v>0.99721129303211897</v>
      </c>
      <c r="X19" s="14">
        <v>5547606</v>
      </c>
      <c r="Y19" s="14">
        <v>5547605.3399999999</v>
      </c>
      <c r="Z19" s="16">
        <f t="shared" si="0"/>
        <v>0.99999988102976312</v>
      </c>
      <c r="AA19" s="14">
        <v>11885912.630000001</v>
      </c>
      <c r="AB19" s="14">
        <v>11885912.630000001</v>
      </c>
      <c r="AC19" s="16">
        <f t="shared" si="1"/>
        <v>1</v>
      </c>
      <c r="AD19" s="14">
        <v>11248138.119999999</v>
      </c>
      <c r="AE19" s="14">
        <v>11247741.15</v>
      </c>
      <c r="AF19" s="16">
        <f t="shared" si="2"/>
        <v>0.99996470793692571</v>
      </c>
      <c r="AG19" s="14">
        <v>13190723.98</v>
      </c>
      <c r="AH19" s="14">
        <v>13190723.98</v>
      </c>
      <c r="AI19" s="16">
        <f t="shared" si="3"/>
        <v>1</v>
      </c>
      <c r="AJ19" s="14">
        <v>15469320.460000001</v>
      </c>
      <c r="AK19" s="14">
        <v>15469320.460000001</v>
      </c>
      <c r="AL19" s="16">
        <f t="shared" si="4"/>
        <v>1</v>
      </c>
      <c r="AM19" s="14">
        <v>14196715.85</v>
      </c>
      <c r="AN19" s="14">
        <v>14196715.85</v>
      </c>
      <c r="AO19" s="16">
        <f t="shared" si="5"/>
        <v>1</v>
      </c>
    </row>
    <row r="20" spans="1:41" ht="18.75" customHeight="1" x14ac:dyDescent="0.25">
      <c r="A20" s="35"/>
      <c r="B20" s="54" t="s">
        <v>46</v>
      </c>
      <c r="C20" s="17">
        <f>SUM(C18:C19)</f>
        <v>0</v>
      </c>
      <c r="D20" s="17">
        <f>SUM(D18:D19)</f>
        <v>0</v>
      </c>
      <c r="E20" s="16" t="e">
        <f>D20/C20</f>
        <v>#DIV/0!</v>
      </c>
      <c r="F20" s="17">
        <f t="shared" ref="F20:G20" si="6">SUM(F18:F19)</f>
        <v>55000</v>
      </c>
      <c r="G20" s="17">
        <f t="shared" si="6"/>
        <v>95310.6</v>
      </c>
      <c r="H20" s="16">
        <f>G20/F20</f>
        <v>1.73292</v>
      </c>
      <c r="I20" s="17">
        <f t="shared" ref="I20:J20" si="7">SUM(I18:I19)</f>
        <v>992821.3</v>
      </c>
      <c r="J20" s="17">
        <f t="shared" si="7"/>
        <v>610126.6</v>
      </c>
      <c r="K20" s="16">
        <f>J20/I20</f>
        <v>0.614538185270602</v>
      </c>
      <c r="L20" s="17">
        <f t="shared" ref="L20:M20" si="8">SUM(L18:L19)</f>
        <v>6182000</v>
      </c>
      <c r="M20" s="17">
        <f t="shared" si="8"/>
        <v>6101996.8300000001</v>
      </c>
      <c r="N20" s="16">
        <f>M20/L20</f>
        <v>0.98705869136201874</v>
      </c>
      <c r="O20" s="17">
        <f t="shared" ref="O20:P20" si="9">SUM(O18:O19)</f>
        <v>6882228</v>
      </c>
      <c r="P20" s="17">
        <f t="shared" si="9"/>
        <v>6188150.209999999</v>
      </c>
      <c r="Q20" s="16">
        <f>P20/O20</f>
        <v>0.89914925951305291</v>
      </c>
      <c r="R20" s="17">
        <f t="shared" ref="R20:S20" si="10">SUM(R18:R19)</f>
        <v>7595972.5499999998</v>
      </c>
      <c r="S20" s="17">
        <f t="shared" si="10"/>
        <v>7595973.5999999996</v>
      </c>
      <c r="T20" s="16">
        <f>S20/R20</f>
        <v>1.0000001382311472</v>
      </c>
      <c r="U20" s="17">
        <f>SUM(U18:U19)</f>
        <v>7484049.0899999999</v>
      </c>
      <c r="V20" s="17">
        <f>SUM(V18:V19)</f>
        <v>7939618.3799999999</v>
      </c>
      <c r="W20" s="16">
        <f>V20/U20</f>
        <v>1.0608720339112581</v>
      </c>
      <c r="X20" s="17">
        <f t="shared" ref="X20:Y20" si="11">SUM(X18:X19)</f>
        <v>7093295</v>
      </c>
      <c r="Y20" s="17">
        <f t="shared" si="11"/>
        <v>7093294.9900000002</v>
      </c>
      <c r="Z20" s="167">
        <f t="shared" si="0"/>
        <v>0.99999999859021793</v>
      </c>
      <c r="AA20" s="17">
        <f t="shared" ref="AA20:AB20" si="12">SUM(AA18:AA19)</f>
        <v>19560599.300000001</v>
      </c>
      <c r="AB20" s="17">
        <f t="shared" si="12"/>
        <v>19560598.5</v>
      </c>
      <c r="AC20" s="167">
        <f t="shared" si="1"/>
        <v>0.99999995910145756</v>
      </c>
      <c r="AD20" s="17">
        <f t="shared" ref="AD20:AE20" si="13">SUM(AD18:AD19)</f>
        <v>17764184.039999999</v>
      </c>
      <c r="AE20" s="17">
        <f t="shared" si="13"/>
        <v>17763787.07</v>
      </c>
      <c r="AF20" s="167">
        <f t="shared" si="2"/>
        <v>0.99997765335018451</v>
      </c>
      <c r="AG20" s="17">
        <f t="shared" ref="AG20:AH20" si="14">SUM(AG18:AG19)</f>
        <v>20696380.190000001</v>
      </c>
      <c r="AH20" s="17">
        <f t="shared" si="14"/>
        <v>20696380.190000001</v>
      </c>
      <c r="AI20" s="167">
        <f t="shared" si="3"/>
        <v>1</v>
      </c>
      <c r="AJ20" s="17">
        <f t="shared" ref="AJ20:AK20" si="15">SUM(AJ18:AJ19)</f>
        <v>24622886.130000003</v>
      </c>
      <c r="AK20" s="17">
        <f t="shared" si="15"/>
        <v>24622886.130000003</v>
      </c>
      <c r="AL20" s="167">
        <f t="shared" si="4"/>
        <v>1</v>
      </c>
      <c r="AM20" s="17">
        <f t="shared" ref="AM20:AN20" si="16">SUM(AM18:AM19)</f>
        <v>20379349.780000001</v>
      </c>
      <c r="AN20" s="17">
        <f t="shared" si="16"/>
        <v>20379349.780000001</v>
      </c>
      <c r="AO20" s="167">
        <f t="shared" si="5"/>
        <v>1</v>
      </c>
    </row>
    <row r="21" spans="1:41" s="4" customFormat="1" ht="19.5" hidden="1" customHeight="1" x14ac:dyDescent="0.25">
      <c r="A21" s="41"/>
      <c r="B21" s="42" t="s">
        <v>28</v>
      </c>
      <c r="C21" s="20"/>
      <c r="D21" s="20"/>
      <c r="E21" s="21" t="e">
        <f>E20</f>
        <v>#DIV/0!</v>
      </c>
      <c r="F21" s="20"/>
      <c r="G21" s="20"/>
      <c r="H21" s="21">
        <f>H20</f>
        <v>1.73292</v>
      </c>
      <c r="I21" s="20"/>
      <c r="J21" s="20"/>
      <c r="K21" s="21">
        <f>K20</f>
        <v>0.614538185270602</v>
      </c>
      <c r="L21" s="20"/>
      <c r="M21" s="20"/>
      <c r="N21" s="21">
        <f>N20</f>
        <v>0.98705869136201874</v>
      </c>
      <c r="O21" s="20"/>
      <c r="P21" s="20"/>
      <c r="Q21" s="21">
        <f>Q20</f>
        <v>0.89914925951305291</v>
      </c>
      <c r="R21" s="20"/>
      <c r="S21" s="20"/>
      <c r="T21" s="21">
        <f>T20</f>
        <v>1.0000001382311472</v>
      </c>
      <c r="U21" s="20"/>
      <c r="V21" s="20"/>
      <c r="W21" s="16" t="e">
        <f>V21/U21</f>
        <v>#DIV/0!</v>
      </c>
      <c r="X21" s="20"/>
      <c r="Y21" s="20"/>
      <c r="Z21" s="16" t="e">
        <f t="shared" si="0"/>
        <v>#DIV/0!</v>
      </c>
      <c r="AA21" s="20"/>
      <c r="AB21" s="20"/>
      <c r="AC21" s="16" t="e">
        <f t="shared" si="1"/>
        <v>#DIV/0!</v>
      </c>
      <c r="AD21" s="20"/>
      <c r="AE21" s="20"/>
      <c r="AF21" s="16" t="e">
        <f t="shared" si="2"/>
        <v>#DIV/0!</v>
      </c>
      <c r="AG21" s="20"/>
      <c r="AH21" s="20"/>
      <c r="AI21" s="16" t="e">
        <f t="shared" si="3"/>
        <v>#DIV/0!</v>
      </c>
      <c r="AJ21" s="20"/>
      <c r="AK21" s="20"/>
      <c r="AL21" s="16" t="e">
        <f t="shared" si="4"/>
        <v>#DIV/0!</v>
      </c>
      <c r="AM21" s="20"/>
      <c r="AN21" s="20"/>
      <c r="AO21" s="16" t="e">
        <f t="shared" si="5"/>
        <v>#DIV/0!</v>
      </c>
    </row>
    <row r="22" spans="1:41" s="4" customFormat="1" ht="19.5" customHeight="1" x14ac:dyDescent="0.25">
      <c r="A22" s="41"/>
      <c r="B22" s="31" t="s">
        <v>103</v>
      </c>
      <c r="C22" s="20"/>
      <c r="D22" s="20"/>
      <c r="E22" s="21"/>
      <c r="F22" s="20"/>
      <c r="G22" s="20"/>
      <c r="H22" s="21"/>
      <c r="I22" s="20"/>
      <c r="J22" s="20"/>
      <c r="K22" s="21"/>
      <c r="L22" s="20"/>
      <c r="M22" s="20"/>
      <c r="N22" s="21"/>
      <c r="O22" s="20"/>
      <c r="P22" s="20"/>
      <c r="Q22" s="21"/>
      <c r="R22" s="20"/>
      <c r="S22" s="20"/>
      <c r="T22" s="21"/>
      <c r="U22" s="20"/>
      <c r="V22" s="20"/>
      <c r="W22" s="16"/>
      <c r="X22" s="12">
        <f>SUM(X13+X18)</f>
        <v>26612324.670000002</v>
      </c>
      <c r="Y22" s="12">
        <f>SUM(Y13+Y18)</f>
        <v>26612324.670000002</v>
      </c>
      <c r="Z22" s="16">
        <f t="shared" si="0"/>
        <v>1</v>
      </c>
      <c r="AA22" s="12">
        <f>SUM(AA13+AA18)</f>
        <v>45959688.740000002</v>
      </c>
      <c r="AB22" s="12">
        <f>SUM(AB13+AB18)</f>
        <v>45959688.740000002</v>
      </c>
      <c r="AC22" s="16">
        <f t="shared" si="1"/>
        <v>1</v>
      </c>
      <c r="AD22" s="12">
        <f>SUM(AD13+AD18)</f>
        <v>45737525.829999998</v>
      </c>
      <c r="AE22" s="12">
        <f>SUM(AE13+AE18)</f>
        <v>37054165.829999998</v>
      </c>
      <c r="AF22" s="16">
        <f t="shared" si="2"/>
        <v>0.81014801648268342</v>
      </c>
      <c r="AG22" s="12">
        <f>SUM(AG13+AG18)</f>
        <v>59375834.079999998</v>
      </c>
      <c r="AH22" s="12">
        <f>SUM(AH13+AH18)</f>
        <v>57176942.369999997</v>
      </c>
      <c r="AI22" s="16">
        <f t="shared" si="3"/>
        <v>0.96296655459126135</v>
      </c>
      <c r="AJ22" s="12">
        <f>SUM(AJ13+AJ18)</f>
        <v>125861259.61</v>
      </c>
      <c r="AK22" s="12">
        <f>SUM(AK13+AK18)</f>
        <v>125861259.15000001</v>
      </c>
      <c r="AL22" s="16">
        <f t="shared" si="4"/>
        <v>0.999999996345182</v>
      </c>
      <c r="AM22" s="12">
        <f>SUM(AM13+AM18)</f>
        <v>124158293.09999999</v>
      </c>
      <c r="AN22" s="12">
        <f>SUM(AN13+AN18)</f>
        <v>123683992.99000001</v>
      </c>
      <c r="AO22" s="16">
        <f t="shared" si="5"/>
        <v>0.99617987572027933</v>
      </c>
    </row>
    <row r="23" spans="1:41" s="4" customFormat="1" ht="19.5" customHeight="1" x14ac:dyDescent="0.25">
      <c r="A23" s="41"/>
      <c r="B23" s="31" t="s">
        <v>104</v>
      </c>
      <c r="C23" s="20"/>
      <c r="D23" s="20"/>
      <c r="E23" s="21"/>
      <c r="F23" s="20"/>
      <c r="G23" s="20"/>
      <c r="H23" s="21"/>
      <c r="I23" s="20"/>
      <c r="J23" s="20"/>
      <c r="K23" s="21"/>
      <c r="L23" s="20"/>
      <c r="M23" s="20"/>
      <c r="N23" s="21"/>
      <c r="O23" s="20"/>
      <c r="P23" s="20"/>
      <c r="Q23" s="21"/>
      <c r="R23" s="20"/>
      <c r="S23" s="20"/>
      <c r="T23" s="21"/>
      <c r="U23" s="20"/>
      <c r="V23" s="20"/>
      <c r="W23" s="16"/>
      <c r="X23" s="12">
        <f>X14+X19</f>
        <v>23256143.34</v>
      </c>
      <c r="Y23" s="12">
        <f>Y14+Y19</f>
        <v>23256143.34</v>
      </c>
      <c r="Z23" s="16">
        <f t="shared" si="0"/>
        <v>1</v>
      </c>
      <c r="AA23" s="12">
        <f>AA14+AA19</f>
        <v>47426798.259999998</v>
      </c>
      <c r="AB23" s="12">
        <f>AB14+AB19</f>
        <v>47426798.259999998</v>
      </c>
      <c r="AC23" s="16">
        <f t="shared" si="1"/>
        <v>1</v>
      </c>
      <c r="AD23" s="12">
        <f>AD14+AD19</f>
        <v>45578441.170000002</v>
      </c>
      <c r="AE23" s="12">
        <f>AE14+AE19</f>
        <v>45577949.109999999</v>
      </c>
      <c r="AF23" s="16">
        <f t="shared" si="2"/>
        <v>0.999989204106429</v>
      </c>
      <c r="AG23" s="12">
        <f>AG14+AG19</f>
        <v>47678609.920000002</v>
      </c>
      <c r="AH23" s="12">
        <f>AH14+AH19</f>
        <v>47678609.920000002</v>
      </c>
      <c r="AI23" s="16">
        <f t="shared" si="3"/>
        <v>1</v>
      </c>
      <c r="AJ23" s="12">
        <f>AJ14+AJ19</f>
        <v>47423143.390000001</v>
      </c>
      <c r="AK23" s="12">
        <f>AK14+AK19</f>
        <v>47423143.390000001</v>
      </c>
      <c r="AL23" s="16">
        <f t="shared" si="4"/>
        <v>1</v>
      </c>
      <c r="AM23" s="12">
        <f>AM14+AM19</f>
        <v>49073300.899999999</v>
      </c>
      <c r="AN23" s="12">
        <f>AN14+AN19</f>
        <v>49073300.899999999</v>
      </c>
      <c r="AO23" s="16">
        <f t="shared" si="5"/>
        <v>1</v>
      </c>
    </row>
    <row r="24" spans="1:41" s="3" customFormat="1" ht="21.75" customHeight="1" x14ac:dyDescent="0.25">
      <c r="A24" s="30"/>
      <c r="B24" s="31" t="s">
        <v>120</v>
      </c>
      <c r="C24" s="47">
        <f>C16+C20</f>
        <v>32164808</v>
      </c>
      <c r="D24" s="47">
        <f>D16+D20</f>
        <v>31974770.340000004</v>
      </c>
      <c r="E24" s="51">
        <f>D24/C24</f>
        <v>0.99409175207885603</v>
      </c>
      <c r="F24" s="47">
        <f t="shared" ref="F24:G24" si="17">F16+F20</f>
        <v>30712960</v>
      </c>
      <c r="G24" s="47">
        <f t="shared" si="17"/>
        <v>28456736.290000003</v>
      </c>
      <c r="H24" s="51">
        <f>G24/F24</f>
        <v>0.92653838281950041</v>
      </c>
      <c r="I24" s="47">
        <f t="shared" ref="I24:J24" si="18">I16+I20</f>
        <v>32543785</v>
      </c>
      <c r="J24" s="47">
        <f t="shared" si="18"/>
        <v>31560351.380000003</v>
      </c>
      <c r="K24" s="51">
        <f>J24/I24</f>
        <v>0.96978121567605002</v>
      </c>
      <c r="L24" s="47">
        <f t="shared" ref="L24:M24" si="19">L16+L20</f>
        <v>41263189</v>
      </c>
      <c r="M24" s="47">
        <f t="shared" si="19"/>
        <v>41215994.269999996</v>
      </c>
      <c r="N24" s="51">
        <f>M24/L24</f>
        <v>0.99885625102800457</v>
      </c>
      <c r="O24" s="47">
        <f t="shared" ref="O24:P24" si="20">O16+O20</f>
        <v>44079344</v>
      </c>
      <c r="P24" s="47">
        <f t="shared" si="20"/>
        <v>44078477.539999999</v>
      </c>
      <c r="Q24" s="51">
        <f>P24/O24</f>
        <v>0.99998034317389117</v>
      </c>
      <c r="R24" s="47">
        <f t="shared" ref="R24:S24" si="21">R16+R20</f>
        <v>55717332</v>
      </c>
      <c r="S24" s="47">
        <f t="shared" si="21"/>
        <v>55711436.360000007</v>
      </c>
      <c r="T24" s="51">
        <f>S24/R24</f>
        <v>0.99989418660606377</v>
      </c>
      <c r="U24" s="47">
        <f>U16+U20</f>
        <v>69516869</v>
      </c>
      <c r="V24" s="47">
        <f>V16+V20</f>
        <v>69485393.359999999</v>
      </c>
      <c r="W24" s="51">
        <f>V24/U24</f>
        <v>0.99954722299130017</v>
      </c>
      <c r="X24" s="47">
        <f>X16+X20</f>
        <v>49868468.010000005</v>
      </c>
      <c r="Y24" s="47">
        <f t="shared" ref="Y24" si="22">Y16+Y20</f>
        <v>49868468.010000005</v>
      </c>
      <c r="Z24" s="168">
        <f t="shared" si="0"/>
        <v>1</v>
      </c>
      <c r="AA24" s="47">
        <f t="shared" ref="AA24:AB24" si="23">AA16+AA20</f>
        <v>93386486.999999985</v>
      </c>
      <c r="AB24" s="47">
        <f t="shared" si="23"/>
        <v>93386487</v>
      </c>
      <c r="AC24" s="168">
        <f t="shared" si="1"/>
        <v>1.0000000000000002</v>
      </c>
      <c r="AD24" s="47">
        <f t="shared" ref="AD24:AE24" si="24">AD16+AD20</f>
        <v>91315967</v>
      </c>
      <c r="AE24" s="47">
        <f t="shared" si="24"/>
        <v>82632114.939999998</v>
      </c>
      <c r="AF24" s="168">
        <f t="shared" si="2"/>
        <v>0.90490324589126891</v>
      </c>
      <c r="AG24" s="47">
        <f t="shared" ref="AG24:AH24" si="25">AG16+AG20</f>
        <v>107054444</v>
      </c>
      <c r="AH24" s="47">
        <f t="shared" si="25"/>
        <v>104855552.28999999</v>
      </c>
      <c r="AI24" s="168">
        <f t="shared" si="3"/>
        <v>0.97946006136840047</v>
      </c>
      <c r="AJ24" s="47">
        <f t="shared" ref="AJ24:AK24" si="26">AJ16+AJ20</f>
        <v>173284403</v>
      </c>
      <c r="AK24" s="47">
        <f t="shared" si="26"/>
        <v>173284402.53999999</v>
      </c>
      <c r="AL24" s="168">
        <f t="shared" si="4"/>
        <v>0.99999999734540446</v>
      </c>
      <c r="AM24" s="47">
        <f t="shared" ref="AM24:AN24" si="27">AM16+AM20</f>
        <v>173231594</v>
      </c>
      <c r="AN24" s="47">
        <f t="shared" si="27"/>
        <v>172757293.89000002</v>
      </c>
      <c r="AO24" s="168">
        <f t="shared" si="5"/>
        <v>0.99726204614846425</v>
      </c>
    </row>
    <row r="25" spans="1:41" ht="10.5" customHeight="1" x14ac:dyDescent="0.25">
      <c r="A25" s="35"/>
      <c r="B25" s="3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</row>
    <row r="26" spans="1:41" ht="10.5" customHeight="1" x14ac:dyDescent="0.25">
      <c r="A26" s="35"/>
      <c r="B26" s="3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spans="1:41" ht="16.149999999999999" customHeight="1" x14ac:dyDescent="0.25">
      <c r="A27" s="34" t="s">
        <v>24</v>
      </c>
      <c r="B27" s="3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</row>
    <row r="28" spans="1:41" ht="16.5" customHeight="1" x14ac:dyDescent="0.25">
      <c r="A28" s="35"/>
      <c r="B28" s="33" t="s">
        <v>44</v>
      </c>
      <c r="C28" s="14"/>
      <c r="D28" s="14"/>
      <c r="E28" s="14"/>
      <c r="F28" s="14"/>
      <c r="G28" s="14"/>
      <c r="H28" s="14"/>
      <c r="I28" s="13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</row>
    <row r="29" spans="1:41" x14ac:dyDescent="0.25">
      <c r="A29" s="35"/>
      <c r="B29" s="36" t="s">
        <v>7</v>
      </c>
      <c r="C29" s="14"/>
      <c r="D29" s="14"/>
      <c r="E29" s="16" t="e">
        <f>D29/C29</f>
        <v>#DIV/0!</v>
      </c>
      <c r="F29" s="14"/>
      <c r="G29" s="14"/>
      <c r="H29" s="16" t="e">
        <f>G29/F29</f>
        <v>#DIV/0!</v>
      </c>
      <c r="I29" s="14"/>
      <c r="J29" s="14"/>
      <c r="K29" s="16" t="e">
        <f>J29/I29</f>
        <v>#DIV/0!</v>
      </c>
      <c r="L29" s="14"/>
      <c r="M29" s="14"/>
      <c r="N29" s="16" t="e">
        <f>M29/L29</f>
        <v>#DIV/0!</v>
      </c>
      <c r="O29" s="14"/>
      <c r="P29" s="14"/>
      <c r="Q29" s="16"/>
      <c r="R29" s="14"/>
      <c r="S29" s="14"/>
      <c r="T29" s="16"/>
      <c r="U29" s="14"/>
      <c r="V29" s="14"/>
      <c r="W29" s="16"/>
      <c r="X29" s="14"/>
      <c r="Y29" s="14"/>
      <c r="Z29" s="16"/>
      <c r="AA29" s="14"/>
      <c r="AB29" s="14"/>
      <c r="AC29" s="16"/>
      <c r="AD29" s="14">
        <v>17028.150000000001</v>
      </c>
      <c r="AE29" s="14">
        <v>17028.150000000001</v>
      </c>
      <c r="AF29" s="16">
        <f>AE29/AD29</f>
        <v>1</v>
      </c>
      <c r="AG29" s="14">
        <f>205564.69-AG34</f>
        <v>71912.69</v>
      </c>
      <c r="AH29" s="14">
        <f>205564.69-AH34</f>
        <v>71912.69</v>
      </c>
      <c r="AI29" s="16">
        <f>AH29/AG29</f>
        <v>1</v>
      </c>
      <c r="AJ29" s="14">
        <f>1940049.31-AJ34</f>
        <v>1199944.31</v>
      </c>
      <c r="AK29" s="14">
        <f>1940049.31-AK34</f>
        <v>1199944.31</v>
      </c>
      <c r="AL29" s="16">
        <f>AK29/AJ29</f>
        <v>1</v>
      </c>
      <c r="AM29" s="14">
        <v>3115273.31</v>
      </c>
      <c r="AN29" s="14">
        <f t="shared" ref="AN29:AN31" si="28">AM29</f>
        <v>3115273.31</v>
      </c>
      <c r="AO29" s="16">
        <f>AN29/AM29</f>
        <v>1</v>
      </c>
    </row>
    <row r="30" spans="1:41" x14ac:dyDescent="0.25">
      <c r="A30" s="35"/>
      <c r="B30" s="36" t="s">
        <v>8</v>
      </c>
      <c r="C30" s="14"/>
      <c r="D30" s="14"/>
      <c r="E30" s="16" t="e">
        <f>D30/C30</f>
        <v>#DIV/0!</v>
      </c>
      <c r="F30" s="14"/>
      <c r="G30" s="14"/>
      <c r="H30" s="16" t="e">
        <f>G30/F30</f>
        <v>#DIV/0!</v>
      </c>
      <c r="I30" s="14"/>
      <c r="J30" s="14"/>
      <c r="K30" s="16" t="e">
        <f>J30/I30</f>
        <v>#DIV/0!</v>
      </c>
      <c r="L30" s="14"/>
      <c r="M30" s="14"/>
      <c r="N30" s="16" t="e">
        <f>M30/L30</f>
        <v>#DIV/0!</v>
      </c>
      <c r="O30" s="14"/>
      <c r="P30" s="14"/>
      <c r="Q30" s="16"/>
      <c r="R30" s="14"/>
      <c r="S30" s="14"/>
      <c r="T30" s="16"/>
      <c r="U30" s="14"/>
      <c r="V30" s="14"/>
      <c r="W30" s="16"/>
      <c r="X30" s="14"/>
      <c r="Y30" s="14"/>
      <c r="Z30" s="16"/>
      <c r="AA30" s="14">
        <f>867000-AA35</f>
        <v>643000</v>
      </c>
      <c r="AB30" s="14">
        <f>867000-AB35</f>
        <v>643000</v>
      </c>
      <c r="AC30" s="16">
        <f>AB30/AA30</f>
        <v>1</v>
      </c>
      <c r="AD30" s="14">
        <f>849971.85-AD35</f>
        <v>621864.85</v>
      </c>
      <c r="AE30" s="14">
        <f>849971.85-AE35</f>
        <v>621864.85</v>
      </c>
      <c r="AF30" s="16">
        <f>AE30/AD30</f>
        <v>1</v>
      </c>
      <c r="AG30" s="14">
        <f>693435.31-AG35</f>
        <v>556308.31000000006</v>
      </c>
      <c r="AH30" s="14">
        <f>693435.31-AH35</f>
        <v>556308.31000000006</v>
      </c>
      <c r="AI30" s="16">
        <f>AH30/AG30</f>
        <v>1</v>
      </c>
      <c r="AJ30" s="14">
        <f>5704950.69-AJ35</f>
        <v>4036055.6900000004</v>
      </c>
      <c r="AK30" s="14">
        <f>5704950.69-AK35</f>
        <v>4036055.6900000004</v>
      </c>
      <c r="AL30" s="16">
        <f>AK30/AJ30</f>
        <v>1</v>
      </c>
      <c r="AM30" s="14">
        <v>8227726.6900000004</v>
      </c>
      <c r="AN30" s="14">
        <f t="shared" si="28"/>
        <v>8227726.6900000004</v>
      </c>
      <c r="AO30" s="16">
        <f>AN30/AM30</f>
        <v>1</v>
      </c>
    </row>
    <row r="31" spans="1:41" ht="16.149999999999999" hidden="1" customHeight="1" x14ac:dyDescent="0.25">
      <c r="A31" s="35"/>
      <c r="B31" s="36" t="s">
        <v>23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>
        <v>8000000</v>
      </c>
      <c r="S31" s="14">
        <v>7999310.8899999997</v>
      </c>
      <c r="T31" s="16">
        <f>S31/R31</f>
        <v>0.99991386124999992</v>
      </c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6" t="e">
        <f>AE31/AD31</f>
        <v>#DIV/0!</v>
      </c>
      <c r="AG31" s="14"/>
      <c r="AH31" s="14"/>
      <c r="AI31" s="16" t="e">
        <f>AH31/AG31</f>
        <v>#DIV/0!</v>
      </c>
      <c r="AJ31" s="14"/>
      <c r="AK31" s="14"/>
      <c r="AL31" s="16" t="e">
        <f>AK31/AJ31</f>
        <v>#DIV/0!</v>
      </c>
      <c r="AM31" s="14"/>
      <c r="AN31" s="14">
        <f t="shared" si="28"/>
        <v>0</v>
      </c>
      <c r="AO31" s="16" t="e">
        <f>AN31/AM31</f>
        <v>#DIV/0!</v>
      </c>
    </row>
    <row r="32" spans="1:41" x14ac:dyDescent="0.25">
      <c r="A32" s="35"/>
      <c r="B32" s="54" t="s">
        <v>46</v>
      </c>
      <c r="C32" s="17">
        <f>SUM(C29:C31)</f>
        <v>0</v>
      </c>
      <c r="D32" s="17">
        <f>SUM(D29:D31)</f>
        <v>0</v>
      </c>
      <c r="E32" s="16" t="e">
        <f>D32/C32</f>
        <v>#DIV/0!</v>
      </c>
      <c r="F32" s="17">
        <f>SUM(F29:F31)</f>
        <v>0</v>
      </c>
      <c r="G32" s="17">
        <f>SUM(G29:G31)</f>
        <v>0</v>
      </c>
      <c r="H32" s="16" t="e">
        <f>G32/F32</f>
        <v>#DIV/0!</v>
      </c>
      <c r="I32" s="17">
        <f>SUM(I29:I31)</f>
        <v>0</v>
      </c>
      <c r="J32" s="17">
        <f>SUM(J29:J31)</f>
        <v>0</v>
      </c>
      <c r="K32" s="16" t="e">
        <f>J32/I32</f>
        <v>#DIV/0!</v>
      </c>
      <c r="L32" s="17">
        <f>SUM(L29:L31)</f>
        <v>0</v>
      </c>
      <c r="M32" s="17">
        <f>SUM(M29:M31)</f>
        <v>0</v>
      </c>
      <c r="N32" s="16" t="e">
        <f>M32/L32</f>
        <v>#DIV/0!</v>
      </c>
      <c r="O32" s="17">
        <f>SUM(O29:O31)</f>
        <v>0</v>
      </c>
      <c r="P32" s="17">
        <f>SUM(P29:P31)</f>
        <v>0</v>
      </c>
      <c r="Q32" s="16"/>
      <c r="R32" s="17">
        <f>SUM(R29:R31)</f>
        <v>8000000</v>
      </c>
      <c r="S32" s="17">
        <f>SUM(S29:S31)</f>
        <v>7999310.8899999997</v>
      </c>
      <c r="T32" s="16">
        <f>S32/R32</f>
        <v>0.99991386124999992</v>
      </c>
      <c r="U32" s="17">
        <f>SUM(U29:U31)</f>
        <v>0</v>
      </c>
      <c r="V32" s="17">
        <f>SUM(V29:V31)</f>
        <v>0</v>
      </c>
      <c r="W32" s="16"/>
      <c r="X32" s="17">
        <f>SUM(X29:X31)</f>
        <v>0</v>
      </c>
      <c r="Y32" s="17">
        <f>SUM(Y29:Y31)</f>
        <v>0</v>
      </c>
      <c r="Z32" s="167"/>
      <c r="AA32" s="17">
        <f>SUM(AA29:AA31)</f>
        <v>643000</v>
      </c>
      <c r="AB32" s="17">
        <f>SUM(AB29:AB31)</f>
        <v>643000</v>
      </c>
      <c r="AC32" s="167">
        <f>AB32/AA32</f>
        <v>1</v>
      </c>
      <c r="AD32" s="17">
        <f>SUM(AD29:AD31)</f>
        <v>638893</v>
      </c>
      <c r="AE32" s="17">
        <f>SUM(AE29:AE31)</f>
        <v>638893</v>
      </c>
      <c r="AF32" s="167">
        <f>AE32/AD32</f>
        <v>1</v>
      </c>
      <c r="AG32" s="17">
        <f>SUM(AG29:AG31)</f>
        <v>628221</v>
      </c>
      <c r="AH32" s="17">
        <f>SUM(AH29:AH31)</f>
        <v>628221</v>
      </c>
      <c r="AI32" s="167">
        <f>AH32/AG32</f>
        <v>1</v>
      </c>
      <c r="AJ32" s="17">
        <f>SUM(AJ29:AJ31)</f>
        <v>5236000</v>
      </c>
      <c r="AK32" s="17">
        <f>SUM(AK29:AK31)</f>
        <v>5236000</v>
      </c>
      <c r="AL32" s="167">
        <f>AK32/AJ32</f>
        <v>1</v>
      </c>
      <c r="AM32" s="17">
        <f>SUM(AM29:AM31)</f>
        <v>11343000</v>
      </c>
      <c r="AN32" s="17">
        <f>SUM(AN29:AN31)</f>
        <v>11343000</v>
      </c>
      <c r="AO32" s="167">
        <f>AN32/AM32</f>
        <v>1</v>
      </c>
    </row>
    <row r="33" spans="1:41" ht="22.5" customHeight="1" x14ac:dyDescent="0.25">
      <c r="A33" s="35"/>
      <c r="B33" s="33" t="s">
        <v>45</v>
      </c>
      <c r="C33" s="14"/>
      <c r="D33" s="14"/>
      <c r="E33" s="14"/>
      <c r="F33" s="14"/>
      <c r="G33" s="14"/>
      <c r="H33" s="14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</row>
    <row r="34" spans="1:41" x14ac:dyDescent="0.25">
      <c r="A34" s="35"/>
      <c r="B34" s="36" t="s">
        <v>7</v>
      </c>
      <c r="C34" s="14"/>
      <c r="D34" s="14"/>
      <c r="E34" s="16" t="e">
        <f>D34/C34</f>
        <v>#DIV/0!</v>
      </c>
      <c r="F34" s="14"/>
      <c r="G34" s="14"/>
      <c r="H34" s="16" t="e">
        <f>G34/F34</f>
        <v>#DIV/0!</v>
      </c>
      <c r="I34" s="14"/>
      <c r="J34" s="14"/>
      <c r="K34" s="16" t="e">
        <f>J34/I34</f>
        <v>#DIV/0!</v>
      </c>
      <c r="L34" s="14"/>
      <c r="M34" s="14"/>
      <c r="N34" s="16" t="e">
        <f>M34/L34</f>
        <v>#DIV/0!</v>
      </c>
      <c r="O34" s="14"/>
      <c r="P34" s="14"/>
      <c r="Q34" s="16"/>
      <c r="R34" s="14"/>
      <c r="S34" s="14"/>
      <c r="T34" s="16"/>
      <c r="U34" s="14"/>
      <c r="V34" s="14"/>
      <c r="W34" s="16"/>
      <c r="X34" s="14"/>
      <c r="Y34" s="14"/>
      <c r="Z34" s="16"/>
      <c r="AA34" s="14"/>
      <c r="AB34" s="14"/>
      <c r="AC34" s="16"/>
      <c r="AD34" s="14">
        <v>0</v>
      </c>
      <c r="AE34" s="14">
        <v>0</v>
      </c>
      <c r="AF34" s="16" t="s">
        <v>55</v>
      </c>
      <c r="AG34" s="14">
        <v>133652</v>
      </c>
      <c r="AH34" s="14">
        <v>133652</v>
      </c>
      <c r="AI34" s="16">
        <f t="shared" ref="AI34:AI40" si="29">AH34/AG34</f>
        <v>1</v>
      </c>
      <c r="AJ34" s="14">
        <v>740105</v>
      </c>
      <c r="AK34" s="14">
        <v>740105</v>
      </c>
      <c r="AL34" s="16">
        <f t="shared" ref="AL34:AL40" si="30">AK34/AJ34</f>
        <v>1</v>
      </c>
      <c r="AM34" s="14">
        <v>1528172.63</v>
      </c>
      <c r="AN34" s="14">
        <f t="shared" ref="AN34:AN35" si="31">AM34</f>
        <v>1528172.63</v>
      </c>
      <c r="AO34" s="16">
        <f t="shared" ref="AO34:AO40" si="32">AN34/AM34</f>
        <v>1</v>
      </c>
    </row>
    <row r="35" spans="1:41" x14ac:dyDescent="0.25">
      <c r="A35" s="35"/>
      <c r="B35" s="36" t="s">
        <v>8</v>
      </c>
      <c r="C35" s="14"/>
      <c r="D35" s="14"/>
      <c r="E35" s="16" t="e">
        <f>D35/C35</f>
        <v>#DIV/0!</v>
      </c>
      <c r="F35" s="14"/>
      <c r="G35" s="14"/>
      <c r="H35" s="16" t="e">
        <f>G35/F35</f>
        <v>#DIV/0!</v>
      </c>
      <c r="I35" s="14"/>
      <c r="J35" s="14"/>
      <c r="K35" s="16" t="e">
        <f>J35/I35</f>
        <v>#DIV/0!</v>
      </c>
      <c r="L35" s="14"/>
      <c r="M35" s="14"/>
      <c r="N35" s="16" t="e">
        <f>M35/L35</f>
        <v>#DIV/0!</v>
      </c>
      <c r="O35" s="14"/>
      <c r="P35" s="14"/>
      <c r="Q35" s="16"/>
      <c r="R35" s="14"/>
      <c r="S35" s="14"/>
      <c r="T35" s="16"/>
      <c r="U35" s="14"/>
      <c r="V35" s="14"/>
      <c r="W35" s="16"/>
      <c r="X35" s="14"/>
      <c r="Y35" s="14"/>
      <c r="Z35" s="16"/>
      <c r="AA35" s="14">
        <v>224000</v>
      </c>
      <c r="AB35" s="14">
        <v>224000</v>
      </c>
      <c r="AC35" s="16">
        <f>AB35/AA35</f>
        <v>1</v>
      </c>
      <c r="AD35" s="14">
        <v>228107</v>
      </c>
      <c r="AE35" s="14">
        <v>228107</v>
      </c>
      <c r="AF35" s="16">
        <f t="shared" ref="AF35:AF40" si="33">AE35/AD35</f>
        <v>1</v>
      </c>
      <c r="AG35" s="14">
        <v>137127</v>
      </c>
      <c r="AH35" s="14">
        <v>137127</v>
      </c>
      <c r="AI35" s="16">
        <f t="shared" si="29"/>
        <v>1</v>
      </c>
      <c r="AJ35" s="14">
        <v>1668895</v>
      </c>
      <c r="AK35" s="14">
        <v>1668895</v>
      </c>
      <c r="AL35" s="16">
        <f t="shared" si="30"/>
        <v>1</v>
      </c>
      <c r="AM35" s="14">
        <v>3161827.37</v>
      </c>
      <c r="AN35" s="14">
        <f t="shared" si="31"/>
        <v>3161827.37</v>
      </c>
      <c r="AO35" s="16">
        <f t="shared" si="32"/>
        <v>1</v>
      </c>
    </row>
    <row r="36" spans="1:41" ht="18.75" customHeight="1" x14ac:dyDescent="0.25">
      <c r="A36" s="35"/>
      <c r="B36" s="54" t="s">
        <v>46</v>
      </c>
      <c r="C36" s="17">
        <f>SUM(C34:C35)</f>
        <v>0</v>
      </c>
      <c r="D36" s="17">
        <f>SUM(D34:D35)</f>
        <v>0</v>
      </c>
      <c r="E36" s="16" t="e">
        <f>D36/C36</f>
        <v>#DIV/0!</v>
      </c>
      <c r="F36" s="17">
        <f t="shared" ref="F36" si="34">SUM(F34:F35)</f>
        <v>0</v>
      </c>
      <c r="G36" s="17">
        <f t="shared" ref="G36" si="35">SUM(G34:G35)</f>
        <v>0</v>
      </c>
      <c r="H36" s="16" t="e">
        <f>G36/F36</f>
        <v>#DIV/0!</v>
      </c>
      <c r="I36" s="17">
        <f t="shared" ref="I36" si="36">SUM(I34:I35)</f>
        <v>0</v>
      </c>
      <c r="J36" s="17">
        <f t="shared" ref="J36" si="37">SUM(J34:J35)</f>
        <v>0</v>
      </c>
      <c r="K36" s="16" t="e">
        <f>J36/I36</f>
        <v>#DIV/0!</v>
      </c>
      <c r="L36" s="17">
        <f t="shared" ref="L36" si="38">SUM(L34:L35)</f>
        <v>0</v>
      </c>
      <c r="M36" s="17">
        <f t="shared" ref="M36" si="39">SUM(M34:M35)</f>
        <v>0</v>
      </c>
      <c r="N36" s="16" t="e">
        <f>M36/L36</f>
        <v>#DIV/0!</v>
      </c>
      <c r="O36" s="17">
        <f t="shared" ref="O36" si="40">SUM(O34:O35)</f>
        <v>0</v>
      </c>
      <c r="P36" s="17">
        <f t="shared" ref="P36" si="41">SUM(P34:P35)</f>
        <v>0</v>
      </c>
      <c r="Q36" s="16"/>
      <c r="R36" s="17">
        <f t="shared" ref="R36" si="42">SUM(R34:R35)</f>
        <v>0</v>
      </c>
      <c r="S36" s="17">
        <f t="shared" ref="S36" si="43">SUM(S34:S35)</f>
        <v>0</v>
      </c>
      <c r="T36" s="16"/>
      <c r="U36" s="17">
        <f>SUM(U34:U35)</f>
        <v>0</v>
      </c>
      <c r="V36" s="17">
        <f>SUM(V34:V35)</f>
        <v>0</v>
      </c>
      <c r="W36" s="16"/>
      <c r="X36" s="17">
        <f t="shared" ref="X36" si="44">SUM(X34:X35)</f>
        <v>0</v>
      </c>
      <c r="Y36" s="17">
        <f t="shared" ref="Y36" si="45">SUM(Y34:Y35)</f>
        <v>0</v>
      </c>
      <c r="Z36" s="167"/>
      <c r="AA36" s="17">
        <f t="shared" ref="AA36" si="46">SUM(AA34:AA35)</f>
        <v>224000</v>
      </c>
      <c r="AB36" s="17">
        <f t="shared" ref="AB36" si="47">SUM(AB34:AB35)</f>
        <v>224000</v>
      </c>
      <c r="AC36" s="167">
        <f>AB36/AA36</f>
        <v>1</v>
      </c>
      <c r="AD36" s="17">
        <f t="shared" ref="AD36" si="48">SUM(AD34:AD35)</f>
        <v>228107</v>
      </c>
      <c r="AE36" s="17">
        <f t="shared" ref="AE36" si="49">SUM(AE34:AE35)</f>
        <v>228107</v>
      </c>
      <c r="AF36" s="167">
        <f t="shared" si="33"/>
        <v>1</v>
      </c>
      <c r="AG36" s="17">
        <f t="shared" ref="AG36:AH36" si="50">SUM(AG34:AG35)</f>
        <v>270779</v>
      </c>
      <c r="AH36" s="17">
        <f t="shared" si="50"/>
        <v>270779</v>
      </c>
      <c r="AI36" s="167">
        <f t="shared" si="29"/>
        <v>1</v>
      </c>
      <c r="AJ36" s="17">
        <f t="shared" ref="AJ36:AK36" si="51">SUM(AJ34:AJ35)</f>
        <v>2409000</v>
      </c>
      <c r="AK36" s="17">
        <f t="shared" si="51"/>
        <v>2409000</v>
      </c>
      <c r="AL36" s="167">
        <f t="shared" si="30"/>
        <v>1</v>
      </c>
      <c r="AM36" s="17">
        <f t="shared" ref="AM36:AN36" si="52">SUM(AM34:AM35)</f>
        <v>4690000</v>
      </c>
      <c r="AN36" s="17">
        <f t="shared" si="52"/>
        <v>4690000</v>
      </c>
      <c r="AO36" s="167">
        <f t="shared" si="32"/>
        <v>1</v>
      </c>
    </row>
    <row r="37" spans="1:41" s="4" customFormat="1" ht="19.5" hidden="1" customHeight="1" x14ac:dyDescent="0.25">
      <c r="A37" s="41"/>
      <c r="B37" s="42" t="s">
        <v>28</v>
      </c>
      <c r="C37" s="20"/>
      <c r="D37" s="20"/>
      <c r="E37" s="21" t="e">
        <f>E36</f>
        <v>#DIV/0!</v>
      </c>
      <c r="F37" s="20"/>
      <c r="G37" s="20"/>
      <c r="H37" s="21" t="e">
        <f>H36</f>
        <v>#DIV/0!</v>
      </c>
      <c r="I37" s="20"/>
      <c r="J37" s="20"/>
      <c r="K37" s="21" t="e">
        <f>K36</f>
        <v>#DIV/0!</v>
      </c>
      <c r="L37" s="20"/>
      <c r="M37" s="20"/>
      <c r="N37" s="21" t="e">
        <f>N36</f>
        <v>#DIV/0!</v>
      </c>
      <c r="O37" s="20"/>
      <c r="P37" s="20"/>
      <c r="Q37" s="21"/>
      <c r="R37" s="20"/>
      <c r="S37" s="20"/>
      <c r="T37" s="21">
        <f>T36</f>
        <v>0</v>
      </c>
      <c r="U37" s="20"/>
      <c r="V37" s="20"/>
      <c r="W37" s="16"/>
      <c r="X37" s="20"/>
      <c r="Y37" s="20"/>
      <c r="Z37" s="16"/>
      <c r="AA37" s="20"/>
      <c r="AB37" s="20"/>
      <c r="AC37" s="16" t="e">
        <f>AB37/AA37</f>
        <v>#DIV/0!</v>
      </c>
      <c r="AD37" s="20"/>
      <c r="AE37" s="20"/>
      <c r="AF37" s="16" t="e">
        <f t="shared" si="33"/>
        <v>#DIV/0!</v>
      </c>
      <c r="AG37" s="20"/>
      <c r="AH37" s="20"/>
      <c r="AI37" s="16" t="e">
        <f t="shared" si="29"/>
        <v>#DIV/0!</v>
      </c>
      <c r="AJ37" s="20"/>
      <c r="AK37" s="20"/>
      <c r="AL37" s="16" t="e">
        <f t="shared" si="30"/>
        <v>#DIV/0!</v>
      </c>
      <c r="AM37" s="20"/>
      <c r="AN37" s="20"/>
      <c r="AO37" s="16" t="e">
        <f t="shared" si="32"/>
        <v>#DIV/0!</v>
      </c>
    </row>
    <row r="38" spans="1:41" s="4" customFormat="1" ht="19.5" customHeight="1" x14ac:dyDescent="0.25">
      <c r="A38" s="41"/>
      <c r="B38" s="31" t="s">
        <v>105</v>
      </c>
      <c r="C38" s="20"/>
      <c r="D38" s="20"/>
      <c r="E38" s="21"/>
      <c r="F38" s="20"/>
      <c r="G38" s="20"/>
      <c r="H38" s="21"/>
      <c r="I38" s="20"/>
      <c r="J38" s="20"/>
      <c r="K38" s="21"/>
      <c r="L38" s="20"/>
      <c r="M38" s="20"/>
      <c r="N38" s="21"/>
      <c r="O38" s="20"/>
      <c r="P38" s="20"/>
      <c r="Q38" s="21"/>
      <c r="R38" s="20"/>
      <c r="S38" s="20"/>
      <c r="T38" s="21"/>
      <c r="U38" s="20"/>
      <c r="V38" s="20"/>
      <c r="W38" s="16"/>
      <c r="X38" s="12">
        <f>SUM(X29+X34)</f>
        <v>0</v>
      </c>
      <c r="Y38" s="12">
        <f>SUM(Y29+Y34)</f>
        <v>0</v>
      </c>
      <c r="Z38" s="16" t="s">
        <v>55</v>
      </c>
      <c r="AA38" s="12">
        <f>SUM(AA29+AA34)</f>
        <v>0</v>
      </c>
      <c r="AB38" s="12">
        <f>SUM(AB29+AB34)</f>
        <v>0</v>
      </c>
      <c r="AC38" s="16" t="s">
        <v>55</v>
      </c>
      <c r="AD38" s="12">
        <f>SUM(AD29+AD34)</f>
        <v>17028.150000000001</v>
      </c>
      <c r="AE38" s="12">
        <f>SUM(AE29+AE34)</f>
        <v>17028.150000000001</v>
      </c>
      <c r="AF38" s="16">
        <f t="shared" si="33"/>
        <v>1</v>
      </c>
      <c r="AG38" s="12">
        <f>SUM(AG29+AG34)</f>
        <v>205564.69</v>
      </c>
      <c r="AH38" s="12">
        <f>SUM(AH29+AH34)</f>
        <v>205564.69</v>
      </c>
      <c r="AI38" s="16">
        <f t="shared" si="29"/>
        <v>1</v>
      </c>
      <c r="AJ38" s="12">
        <f>SUM(AJ29+AJ34)</f>
        <v>1940049.31</v>
      </c>
      <c r="AK38" s="12">
        <f>SUM(AK29+AK34)</f>
        <v>1940049.31</v>
      </c>
      <c r="AL38" s="16">
        <f t="shared" si="30"/>
        <v>1</v>
      </c>
      <c r="AM38" s="12">
        <f>SUM(AM29+AM34)</f>
        <v>4643445.9399999995</v>
      </c>
      <c r="AN38" s="12">
        <f>SUM(AN29+AN34)</f>
        <v>4643445.9399999995</v>
      </c>
      <c r="AO38" s="16">
        <f t="shared" si="32"/>
        <v>1</v>
      </c>
    </row>
    <row r="39" spans="1:41" s="4" customFormat="1" ht="19.5" customHeight="1" x14ac:dyDescent="0.25">
      <c r="A39" s="41"/>
      <c r="B39" s="31" t="s">
        <v>106</v>
      </c>
      <c r="C39" s="20"/>
      <c r="D39" s="20"/>
      <c r="E39" s="21"/>
      <c r="F39" s="20"/>
      <c r="G39" s="20"/>
      <c r="H39" s="21"/>
      <c r="I39" s="20"/>
      <c r="J39" s="20"/>
      <c r="K39" s="21"/>
      <c r="L39" s="20"/>
      <c r="M39" s="20"/>
      <c r="N39" s="21"/>
      <c r="O39" s="20"/>
      <c r="P39" s="20"/>
      <c r="Q39" s="21"/>
      <c r="R39" s="20"/>
      <c r="S39" s="20"/>
      <c r="T39" s="21"/>
      <c r="U39" s="20"/>
      <c r="V39" s="20"/>
      <c r="W39" s="16"/>
      <c r="X39" s="12">
        <f>X30+X35</f>
        <v>0</v>
      </c>
      <c r="Y39" s="12">
        <f>Y30+Y35</f>
        <v>0</v>
      </c>
      <c r="Z39" s="16" t="s">
        <v>55</v>
      </c>
      <c r="AA39" s="12">
        <f>AA30+AA35</f>
        <v>867000</v>
      </c>
      <c r="AB39" s="12">
        <f>AB30+AB35</f>
        <v>867000</v>
      </c>
      <c r="AC39" s="16">
        <f>AB39/AA39</f>
        <v>1</v>
      </c>
      <c r="AD39" s="12">
        <f>AD30+AD35</f>
        <v>849971.85</v>
      </c>
      <c r="AE39" s="12">
        <f>AE30+AE35</f>
        <v>849971.85</v>
      </c>
      <c r="AF39" s="16">
        <f t="shared" si="33"/>
        <v>1</v>
      </c>
      <c r="AG39" s="12">
        <f>AG30+AG35</f>
        <v>693435.31</v>
      </c>
      <c r="AH39" s="12">
        <f>AH30+AH35</f>
        <v>693435.31</v>
      </c>
      <c r="AI39" s="16">
        <f t="shared" si="29"/>
        <v>1</v>
      </c>
      <c r="AJ39" s="12">
        <f>AJ30+AJ35</f>
        <v>5704950.6900000004</v>
      </c>
      <c r="AK39" s="12">
        <f>AK30+AK35</f>
        <v>5704950.6900000004</v>
      </c>
      <c r="AL39" s="16">
        <f t="shared" si="30"/>
        <v>1</v>
      </c>
      <c r="AM39" s="12">
        <f>AM30+AM35</f>
        <v>11389554.060000001</v>
      </c>
      <c r="AN39" s="12">
        <f>AN30+AN35</f>
        <v>11389554.060000001</v>
      </c>
      <c r="AO39" s="16">
        <f t="shared" si="32"/>
        <v>1</v>
      </c>
    </row>
    <row r="40" spans="1:41" s="3" customFormat="1" ht="21.75" customHeight="1" x14ac:dyDescent="0.25">
      <c r="A40" s="30"/>
      <c r="B40" s="31" t="s">
        <v>119</v>
      </c>
      <c r="C40" s="47">
        <f>C32+C36</f>
        <v>0</v>
      </c>
      <c r="D40" s="47">
        <f>D32+D36</f>
        <v>0</v>
      </c>
      <c r="E40" s="51" t="e">
        <f>D40/C40</f>
        <v>#DIV/0!</v>
      </c>
      <c r="F40" s="47">
        <f t="shared" ref="F40:G40" si="53">F32+F36</f>
        <v>0</v>
      </c>
      <c r="G40" s="47">
        <f t="shared" si="53"/>
        <v>0</v>
      </c>
      <c r="H40" s="51" t="e">
        <f>G40/F40</f>
        <v>#DIV/0!</v>
      </c>
      <c r="I40" s="47">
        <f t="shared" ref="I40:J40" si="54">I32+I36</f>
        <v>0</v>
      </c>
      <c r="J40" s="47">
        <f t="shared" si="54"/>
        <v>0</v>
      </c>
      <c r="K40" s="51" t="e">
        <f>J40/I40</f>
        <v>#DIV/0!</v>
      </c>
      <c r="L40" s="47">
        <f t="shared" ref="L40:M40" si="55">L32+L36</f>
        <v>0</v>
      </c>
      <c r="M40" s="47">
        <f t="shared" si="55"/>
        <v>0</v>
      </c>
      <c r="N40" s="51" t="e">
        <f>M40/L40</f>
        <v>#DIV/0!</v>
      </c>
      <c r="O40" s="47">
        <f t="shared" ref="O40:P40" si="56">O32+O36</f>
        <v>0</v>
      </c>
      <c r="P40" s="47">
        <f t="shared" si="56"/>
        <v>0</v>
      </c>
      <c r="Q40" s="51"/>
      <c r="R40" s="47">
        <f t="shared" ref="R40:S40" si="57">R32+R36</f>
        <v>8000000</v>
      </c>
      <c r="S40" s="47">
        <f t="shared" si="57"/>
        <v>7999310.8899999997</v>
      </c>
      <c r="T40" s="51">
        <f>S40/R40</f>
        <v>0.99991386124999992</v>
      </c>
      <c r="U40" s="47">
        <f>U32+U36</f>
        <v>0</v>
      </c>
      <c r="V40" s="47">
        <f>V32+V36</f>
        <v>0</v>
      </c>
      <c r="W40" s="51"/>
      <c r="X40" s="47">
        <f t="shared" ref="X40:Y40" si="58">X32+X36</f>
        <v>0</v>
      </c>
      <c r="Y40" s="47">
        <f t="shared" si="58"/>
        <v>0</v>
      </c>
      <c r="Z40" s="168"/>
      <c r="AA40" s="47">
        <f t="shared" ref="AA40:AB40" si="59">AA32+AA36</f>
        <v>867000</v>
      </c>
      <c r="AB40" s="47">
        <f t="shared" si="59"/>
        <v>867000</v>
      </c>
      <c r="AC40" s="168">
        <f>AB40/AA40</f>
        <v>1</v>
      </c>
      <c r="AD40" s="47">
        <f t="shared" ref="AD40:AE40" si="60">AD32+AD36</f>
        <v>867000</v>
      </c>
      <c r="AE40" s="47">
        <f t="shared" si="60"/>
        <v>867000</v>
      </c>
      <c r="AF40" s="168">
        <f t="shared" si="33"/>
        <v>1</v>
      </c>
      <c r="AG40" s="47">
        <f t="shared" ref="AG40:AH40" si="61">AG32+AG36</f>
        <v>899000</v>
      </c>
      <c r="AH40" s="47">
        <f t="shared" si="61"/>
        <v>899000</v>
      </c>
      <c r="AI40" s="168">
        <f t="shared" si="29"/>
        <v>1</v>
      </c>
      <c r="AJ40" s="47">
        <f t="shared" ref="AJ40:AK40" si="62">AJ32+AJ36</f>
        <v>7645000</v>
      </c>
      <c r="AK40" s="47">
        <f t="shared" si="62"/>
        <v>7645000</v>
      </c>
      <c r="AL40" s="168">
        <f t="shared" si="30"/>
        <v>1</v>
      </c>
      <c r="AM40" s="47">
        <f t="shared" ref="AM40:AN40" si="63">AM32+AM36</f>
        <v>16033000</v>
      </c>
      <c r="AN40" s="47">
        <f t="shared" si="63"/>
        <v>16033000</v>
      </c>
      <c r="AO40" s="168">
        <f t="shared" si="32"/>
        <v>1</v>
      </c>
    </row>
    <row r="41" spans="1:41" ht="25.5" customHeight="1" x14ac:dyDescent="0.25">
      <c r="A41" s="34" t="s">
        <v>9</v>
      </c>
      <c r="B41" s="3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</row>
    <row r="42" spans="1:41" x14ac:dyDescent="0.25">
      <c r="A42" s="35"/>
      <c r="B42" s="33" t="s">
        <v>10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</row>
    <row r="43" spans="1:41" ht="16.5" customHeight="1" x14ac:dyDescent="0.25">
      <c r="A43" s="35"/>
      <c r="B43" s="53" t="s">
        <v>44</v>
      </c>
      <c r="C43" s="14"/>
      <c r="D43" s="14"/>
      <c r="E43" s="14"/>
      <c r="F43" s="14"/>
      <c r="G43" s="14"/>
      <c r="H43" s="14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</row>
    <row r="44" spans="1:41" x14ac:dyDescent="0.25">
      <c r="A44" s="35"/>
      <c r="B44" s="39" t="s">
        <v>7</v>
      </c>
      <c r="C44" s="15">
        <v>63185320</v>
      </c>
      <c r="D44" s="15">
        <v>65308240.939999998</v>
      </c>
      <c r="E44" s="16">
        <f>D44/C44</f>
        <v>1.0335983253705132</v>
      </c>
      <c r="F44" s="15">
        <f>52484386.17+5945000-1061960-F49</f>
        <v>36898426.170000002</v>
      </c>
      <c r="G44" s="15">
        <f>54818540.5+6052475.14-1088923.38-G49</f>
        <v>37874982.219999999</v>
      </c>
      <c r="H44" s="16">
        <f>G44/F44</f>
        <v>1.0264660624141737</v>
      </c>
      <c r="I44" s="14">
        <f>52415933+5914000-946000+27287604-I49</f>
        <v>54316048</v>
      </c>
      <c r="J44" s="14">
        <f>52798627.7+5914000-946000+27287604-J49</f>
        <v>54316048</v>
      </c>
      <c r="K44" s="16">
        <f>J44/I44</f>
        <v>1</v>
      </c>
      <c r="L44" s="14">
        <f>65005309+6768000+11166416+4665677-403000-135000-L49</f>
        <v>58244954.350000001</v>
      </c>
      <c r="M44" s="14">
        <f>64903195+6768000+11166416+4665677-403000-135000-M49</f>
        <v>58142840.350000001</v>
      </c>
      <c r="N44" s="16">
        <f>M44/L44</f>
        <v>0.9982468180954116</v>
      </c>
      <c r="O44" s="14">
        <f>130662048-O49</f>
        <v>101628868</v>
      </c>
      <c r="P44" s="14">
        <f>130662048-P49</f>
        <v>104336322.81999999</v>
      </c>
      <c r="Q44" s="16">
        <f>P44/O44</f>
        <v>1.0266406078635057</v>
      </c>
      <c r="R44" s="14">
        <f>136754521-R49</f>
        <v>99079653.680000007</v>
      </c>
      <c r="S44" s="14">
        <f>136754521-S49</f>
        <v>99079653.680000007</v>
      </c>
      <c r="T44" s="16">
        <f>S44/R44</f>
        <v>1</v>
      </c>
      <c r="U44" s="14">
        <f>142859671+14102941+14786331-U49</f>
        <v>129181632</v>
      </c>
      <c r="V44" s="14">
        <f>142859671+14102941+14786331-V49</f>
        <v>127324188.44</v>
      </c>
      <c r="W44" s="16">
        <f>V44/U44</f>
        <v>0.98562145770073561</v>
      </c>
      <c r="X44" s="14">
        <f>176938900.91-X49</f>
        <v>131154061.78999999</v>
      </c>
      <c r="Y44" s="14">
        <f>176938900.91-Y49</f>
        <v>131154061.78999999</v>
      </c>
      <c r="Z44" s="16">
        <f>Y44/X44</f>
        <v>1</v>
      </c>
      <c r="AA44" s="14">
        <f>203843784.39-AA49</f>
        <v>150687529.70999998</v>
      </c>
      <c r="AB44" s="14">
        <f>203843784.39-AB49</f>
        <v>150619881.81999999</v>
      </c>
      <c r="AC44" s="16">
        <f>AB44/AA44</f>
        <v>0.99955107174342717</v>
      </c>
      <c r="AD44" s="14">
        <f>221447181.78-AD49</f>
        <v>164993147.69999999</v>
      </c>
      <c r="AE44" s="14">
        <f>221447181.78-AE49</f>
        <v>164441715.04000002</v>
      </c>
      <c r="AF44" s="16">
        <f>AE44/AD44</f>
        <v>0.99665784508213262</v>
      </c>
      <c r="AG44" s="14">
        <f>290454059.33-AG49</f>
        <v>217166407.98999998</v>
      </c>
      <c r="AH44" s="14">
        <f>288707821.54-AH49</f>
        <v>217693271.25</v>
      </c>
      <c r="AI44" s="16">
        <f>AH44/AG44</f>
        <v>1.0024260808330185</v>
      </c>
      <c r="AJ44" s="14">
        <f>350829463.53-AJ49</f>
        <v>265661787.68999997</v>
      </c>
      <c r="AK44" s="14">
        <f>350812964.05-AK49</f>
        <v>265645288.21000001</v>
      </c>
      <c r="AL44" s="16">
        <f>AK44/AJ44</f>
        <v>0.99993789291209911</v>
      </c>
      <c r="AM44" s="14">
        <v>352889473.56</v>
      </c>
      <c r="AN44" s="14">
        <v>348500232.20999998</v>
      </c>
      <c r="AO44" s="16">
        <f>AN44/AM44</f>
        <v>0.98756199411186529</v>
      </c>
    </row>
    <row r="45" spans="1:41" x14ac:dyDescent="0.25">
      <c r="A45" s="35"/>
      <c r="B45" s="39" t="s">
        <v>8</v>
      </c>
      <c r="C45" s="14">
        <v>11800000</v>
      </c>
      <c r="D45" s="14">
        <v>11145030.26</v>
      </c>
      <c r="E45" s="16">
        <f>D45/C45</f>
        <v>0.94449408983050842</v>
      </c>
      <c r="F45" s="14">
        <f>29598613.83-F50</f>
        <v>25210613.829999998</v>
      </c>
      <c r="G45" s="14">
        <f>21972739.74-G50</f>
        <v>18209582.669999998</v>
      </c>
      <c r="H45" s="16">
        <f>G45/F45</f>
        <v>0.72229826662653696</v>
      </c>
      <c r="I45" s="14">
        <f>39991067-I50</f>
        <v>35819067</v>
      </c>
      <c r="J45" s="14">
        <f>26381158.15-J50</f>
        <v>22875478.989999998</v>
      </c>
      <c r="K45" s="16">
        <f>J45/I45</f>
        <v>0.63863972196707408</v>
      </c>
      <c r="L45" s="14">
        <f>43084691-L50</f>
        <v>39686518.649999999</v>
      </c>
      <c r="M45" s="14">
        <f>21065557.56-M50</f>
        <v>18937087.299999997</v>
      </c>
      <c r="N45" s="16">
        <f>M45/L45</f>
        <v>0.47716675445907369</v>
      </c>
      <c r="O45" s="14">
        <f>50466711-O50</f>
        <v>47597708</v>
      </c>
      <c r="P45" s="14">
        <f>36567369.09-P50</f>
        <v>33741734.370000005</v>
      </c>
      <c r="Q45" s="16">
        <f>P45/O45</f>
        <v>0.70889409990077679</v>
      </c>
      <c r="R45" s="14">
        <f>14261776-R50</f>
        <v>12287790.42</v>
      </c>
      <c r="S45" s="14">
        <f>14242993.68-S50</f>
        <v>12271574.039999999</v>
      </c>
      <c r="T45" s="16">
        <f>S45/R45</f>
        <v>0.99868028510857354</v>
      </c>
      <c r="U45" s="14">
        <f>7449044-U50</f>
        <v>5984044</v>
      </c>
      <c r="V45" s="14">
        <f>7375892.37-V50</f>
        <v>6071438.3499999996</v>
      </c>
      <c r="W45" s="16">
        <f>V45/U45</f>
        <v>1.0146045634022745</v>
      </c>
      <c r="X45" s="14">
        <f>5006270-X50</f>
        <v>3813288</v>
      </c>
      <c r="Y45" s="14">
        <f>5006270-Y50</f>
        <v>3812161.01</v>
      </c>
      <c r="Z45" s="16">
        <f>Y45/X45</f>
        <v>0.99970445715088918</v>
      </c>
      <c r="AA45" s="14">
        <f>10147711.61-AA50</f>
        <v>7543946.6099999994</v>
      </c>
      <c r="AB45" s="14">
        <f>10147711.61-AB50</f>
        <v>7543946.6099999994</v>
      </c>
      <c r="AC45" s="16">
        <f>AB45/AA45</f>
        <v>1</v>
      </c>
      <c r="AD45" s="14">
        <f>13138122.22+500000+157220000-AD50-500000</f>
        <v>166895727.22</v>
      </c>
      <c r="AE45" s="14">
        <f>13138062.88+340073.5+157219999.16-AE50-340073.5</f>
        <v>166895846.38</v>
      </c>
      <c r="AF45" s="16">
        <f>AE45/AD45</f>
        <v>1.0000007139787337</v>
      </c>
      <c r="AG45" s="14">
        <f>167576570.67-AG50</f>
        <v>164827172.08999997</v>
      </c>
      <c r="AH45" s="14">
        <f>167576570.67-AH50</f>
        <v>164827172.08999997</v>
      </c>
      <c r="AI45" s="16">
        <f>AH45/AG45</f>
        <v>1</v>
      </c>
      <c r="AJ45" s="14">
        <f>222080267.47-AJ50</f>
        <v>218297862.77000001</v>
      </c>
      <c r="AK45" s="14">
        <f>222080267.47-AK50</f>
        <v>218297862.77000001</v>
      </c>
      <c r="AL45" s="16">
        <f>AK45/AJ45</f>
        <v>1</v>
      </c>
      <c r="AM45" s="14">
        <v>179152961.05000001</v>
      </c>
      <c r="AN45" s="14">
        <v>179152961.05000001</v>
      </c>
      <c r="AO45" s="16">
        <f>AN45/AM45</f>
        <v>1</v>
      </c>
    </row>
    <row r="46" spans="1:41" x14ac:dyDescent="0.25">
      <c r="A46" s="35"/>
      <c r="B46" s="39" t="s">
        <v>42</v>
      </c>
      <c r="C46" s="14"/>
      <c r="D46" s="14"/>
      <c r="E46" s="16"/>
      <c r="F46" s="14"/>
      <c r="G46" s="14"/>
      <c r="H46" s="16"/>
      <c r="I46" s="14"/>
      <c r="J46" s="14"/>
      <c r="K46" s="16"/>
      <c r="L46" s="14"/>
      <c r="M46" s="14"/>
      <c r="N46" s="16"/>
      <c r="O46" s="14"/>
      <c r="P46" s="14"/>
      <c r="Q46" s="16"/>
      <c r="R46" s="14"/>
      <c r="S46" s="14"/>
      <c r="T46" s="16"/>
      <c r="U46" s="14"/>
      <c r="V46" s="14"/>
      <c r="W46" s="16"/>
      <c r="X46" s="14"/>
      <c r="Y46" s="14"/>
      <c r="Z46" s="16"/>
      <c r="AA46" s="14"/>
      <c r="AB46" s="14"/>
      <c r="AC46" s="16"/>
      <c r="AD46" s="14"/>
      <c r="AE46" s="14"/>
      <c r="AF46" s="16" t="e">
        <f>AE46/AD46</f>
        <v>#DIV/0!</v>
      </c>
      <c r="AG46" s="14"/>
      <c r="AH46" s="14"/>
      <c r="AI46" s="16"/>
      <c r="AJ46" s="14"/>
      <c r="AK46" s="14"/>
      <c r="AL46" s="16"/>
      <c r="AM46" s="14">
        <v>20000000</v>
      </c>
      <c r="AN46" s="14">
        <v>14997066</v>
      </c>
      <c r="AO46" s="16">
        <f>AN46/AM46</f>
        <v>0.74985329999999994</v>
      </c>
    </row>
    <row r="47" spans="1:41" x14ac:dyDescent="0.25">
      <c r="A47" s="35"/>
      <c r="B47" s="54" t="s">
        <v>46</v>
      </c>
      <c r="C47" s="17">
        <f>SUM(C42:C45)</f>
        <v>74985320</v>
      </c>
      <c r="D47" s="17">
        <f>SUM(D42:D45)</f>
        <v>76453271.200000003</v>
      </c>
      <c r="E47" s="16">
        <f>D47/C47</f>
        <v>1.0195765144430937</v>
      </c>
      <c r="F47" s="17">
        <f>SUM(F42:F45)</f>
        <v>62109040</v>
      </c>
      <c r="G47" s="17">
        <f>SUM(G42:G45)</f>
        <v>56084564.890000001</v>
      </c>
      <c r="H47" s="16">
        <f>G47/F47</f>
        <v>0.90300163856984428</v>
      </c>
      <c r="I47" s="17">
        <f>SUM(I42:I45)</f>
        <v>90135115</v>
      </c>
      <c r="J47" s="17">
        <f>SUM(J42:J45)</f>
        <v>77191526.989999995</v>
      </c>
      <c r="K47" s="16">
        <f>J47/I47</f>
        <v>0.85639794202292852</v>
      </c>
      <c r="L47" s="17">
        <f>SUM(L42:L45)</f>
        <v>97931473</v>
      </c>
      <c r="M47" s="17">
        <f>SUM(M42:M45)</f>
        <v>77079927.650000006</v>
      </c>
      <c r="N47" s="16">
        <f>M47/L47</f>
        <v>0.78708024385582365</v>
      </c>
      <c r="O47" s="17">
        <f>SUM(O42:O45)</f>
        <v>149226576</v>
      </c>
      <c r="P47" s="17">
        <f>SUM(P42:P45)</f>
        <v>138078057.19</v>
      </c>
      <c r="Q47" s="16">
        <f>P47/O47</f>
        <v>0.92529133141807129</v>
      </c>
      <c r="R47" s="17">
        <f>SUM(R42:R45)</f>
        <v>111367444.10000001</v>
      </c>
      <c r="S47" s="17">
        <f>SUM(S42:S45)</f>
        <v>111351227.72</v>
      </c>
      <c r="T47" s="16">
        <f>S47/R47</f>
        <v>0.99985438850526687</v>
      </c>
      <c r="U47" s="17">
        <f>SUM(U42:U45)</f>
        <v>135165676</v>
      </c>
      <c r="V47" s="17">
        <f>SUM(V42:V45)</f>
        <v>133395626.78999999</v>
      </c>
      <c r="W47" s="16">
        <f>V47/U47</f>
        <v>0.98690459543885978</v>
      </c>
      <c r="X47" s="17">
        <f>SUM(X42:X45)</f>
        <v>134967349.78999999</v>
      </c>
      <c r="Y47" s="17">
        <f>SUM(Y42:Y45)</f>
        <v>134966222.79999998</v>
      </c>
      <c r="Z47" s="167">
        <f>Y47/X47</f>
        <v>0.9999916499064273</v>
      </c>
      <c r="AA47" s="17">
        <f>SUM(AA42:AA45)</f>
        <v>158231476.31999999</v>
      </c>
      <c r="AB47" s="17">
        <f>SUM(AB42:AB45)</f>
        <v>158163828.43000001</v>
      </c>
      <c r="AC47" s="167">
        <f>AB47/AA47</f>
        <v>0.99957247513849157</v>
      </c>
      <c r="AD47" s="17">
        <f>SUM(AD42:AD46)</f>
        <v>331888874.91999996</v>
      </c>
      <c r="AE47" s="17">
        <f>SUM(AE42:AE46)</f>
        <v>331337561.42000002</v>
      </c>
      <c r="AF47" s="167">
        <f>AE47/AD47</f>
        <v>0.99833886116208981</v>
      </c>
      <c r="AG47" s="17">
        <f>SUM(AG42:AG45)</f>
        <v>381993580.07999992</v>
      </c>
      <c r="AH47" s="17">
        <f>SUM(AH42:AH45)</f>
        <v>382520443.33999997</v>
      </c>
      <c r="AI47" s="167">
        <f>AH47/AG47</f>
        <v>1.001379246373433</v>
      </c>
      <c r="AJ47" s="17">
        <f>SUM(AJ43:AJ46)</f>
        <v>483959650.45999998</v>
      </c>
      <c r="AK47" s="17">
        <f>SUM(AK43:AK46)</f>
        <v>483943150.98000002</v>
      </c>
      <c r="AL47" s="167">
        <f>AK47/AJ47</f>
        <v>0.99996590732309132</v>
      </c>
      <c r="AM47" s="17">
        <f>SUM(AM43:AM46)</f>
        <v>552042434.61000001</v>
      </c>
      <c r="AN47" s="17">
        <f>SUM(AN43:AN46)</f>
        <v>542650259.25999999</v>
      </c>
      <c r="AO47" s="167">
        <f>AN47/AM47</f>
        <v>0.98298649748431877</v>
      </c>
    </row>
    <row r="48" spans="1:41" ht="22.5" customHeight="1" x14ac:dyDescent="0.25">
      <c r="A48" s="35"/>
      <c r="B48" s="53" t="s">
        <v>45</v>
      </c>
      <c r="C48" s="14"/>
      <c r="D48" s="14"/>
      <c r="E48" s="14"/>
      <c r="F48" s="14"/>
      <c r="G48" s="14"/>
      <c r="H48" s="14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</row>
    <row r="49" spans="1:41" x14ac:dyDescent="0.25">
      <c r="A49" s="35"/>
      <c r="B49" s="36" t="s">
        <v>7</v>
      </c>
      <c r="C49" s="14"/>
      <c r="D49" s="14"/>
      <c r="E49" s="16" t="e">
        <f>D49/C49</f>
        <v>#DIV/0!</v>
      </c>
      <c r="F49" s="14">
        <f>18937000+1532000</f>
        <v>20469000</v>
      </c>
      <c r="G49" s="14">
        <f>19827669.7+2079440.34</f>
        <v>21907110.039999999</v>
      </c>
      <c r="H49" s="16">
        <f>G49/F49</f>
        <v>1.0702579530021008</v>
      </c>
      <c r="I49" s="14">
        <f>20287000+1902000+8166489</f>
        <v>30355489</v>
      </c>
      <c r="J49" s="14">
        <f>20669694.7+1902000+8166489</f>
        <v>30738183.699999999</v>
      </c>
      <c r="K49" s="16">
        <f>J49/I49</f>
        <v>1.0126071004818931</v>
      </c>
      <c r="L49" s="14">
        <f>22063770.65+2093000+1129000+3536677</f>
        <v>28822447.649999999</v>
      </c>
      <c r="M49" s="14">
        <f>22063770.65+2093000+1129000+3536677</f>
        <v>28822447.649999999</v>
      </c>
      <c r="N49" s="16">
        <f>M49/L49</f>
        <v>1</v>
      </c>
      <c r="O49" s="14">
        <v>29033180</v>
      </c>
      <c r="P49" s="14">
        <v>26325725.18</v>
      </c>
      <c r="Q49" s="16">
        <f>P49/O49</f>
        <v>0.90674618419339525</v>
      </c>
      <c r="R49" s="14">
        <v>37674867.32</v>
      </c>
      <c r="S49" s="14">
        <v>37674867.32</v>
      </c>
      <c r="T49" s="16">
        <f>S49/R49</f>
        <v>1</v>
      </c>
      <c r="U49" s="14">
        <v>42567311</v>
      </c>
      <c r="V49" s="14">
        <v>44424754.560000002</v>
      </c>
      <c r="W49" s="16">
        <f>V49/U49</f>
        <v>1.0436354450484318</v>
      </c>
      <c r="X49" s="14">
        <v>45784839.119999997</v>
      </c>
      <c r="Y49" s="14">
        <v>45784839.119999997</v>
      </c>
      <c r="Z49" s="16">
        <f t="shared" ref="Z49:Z55" si="64">Y49/X49</f>
        <v>1</v>
      </c>
      <c r="AA49" s="14">
        <v>53156254.68</v>
      </c>
      <c r="AB49" s="14">
        <v>53223902.57</v>
      </c>
      <c r="AC49" s="16">
        <f t="shared" ref="AC49:AC55" si="65">AB49/AA49</f>
        <v>1.0012726233329876</v>
      </c>
      <c r="AD49" s="14">
        <v>56454034.079999998</v>
      </c>
      <c r="AE49" s="14">
        <v>57005466.739999995</v>
      </c>
      <c r="AF49" s="16">
        <f t="shared" ref="AF49:AF55" si="66">AE49/AD49</f>
        <v>1.0097678167554611</v>
      </c>
      <c r="AG49" s="14">
        <v>73287651.340000004</v>
      </c>
      <c r="AH49" s="14">
        <v>71014550.290000007</v>
      </c>
      <c r="AI49" s="16">
        <f t="shared" ref="AI49:AI55" si="67">AH49/AG49</f>
        <v>0.96898384641289015</v>
      </c>
      <c r="AJ49" s="14">
        <v>85167675.840000004</v>
      </c>
      <c r="AK49" s="14">
        <v>85167675.840000004</v>
      </c>
      <c r="AL49" s="16">
        <f t="shared" ref="AL49:AL55" si="68">AK49/AJ49</f>
        <v>1</v>
      </c>
      <c r="AM49" s="14">
        <v>123970930.3</v>
      </c>
      <c r="AN49" s="14">
        <v>123634332.90000001</v>
      </c>
      <c r="AO49" s="16">
        <f t="shared" ref="AO49:AO55" si="69">AN49/AM49</f>
        <v>0.99728486832206997</v>
      </c>
    </row>
    <row r="50" spans="1:41" x14ac:dyDescent="0.25">
      <c r="A50" s="44"/>
      <c r="B50" s="97" t="s">
        <v>8</v>
      </c>
      <c r="C50" s="26"/>
      <c r="D50" s="26"/>
      <c r="E50" s="96" t="e">
        <f>D50/C50</f>
        <v>#DIV/0!</v>
      </c>
      <c r="F50" s="26">
        <v>4388000</v>
      </c>
      <c r="G50" s="26">
        <v>3763157.0700000003</v>
      </c>
      <c r="H50" s="96">
        <f>G50/F50</f>
        <v>0.85760188468550602</v>
      </c>
      <c r="I50" s="26">
        <v>4172000</v>
      </c>
      <c r="J50" s="26">
        <v>3505679.16</v>
      </c>
      <c r="K50" s="96">
        <f>J50/I50</f>
        <v>0.84028743048897414</v>
      </c>
      <c r="L50" s="26">
        <v>3398172.35</v>
      </c>
      <c r="M50" s="26">
        <v>2128470.2599999998</v>
      </c>
      <c r="N50" s="96">
        <f>M50/L50</f>
        <v>0.62635735941998338</v>
      </c>
      <c r="O50" s="26">
        <v>2869003</v>
      </c>
      <c r="P50" s="26">
        <v>2825634.72</v>
      </c>
      <c r="Q50" s="96">
        <f>P50/O50</f>
        <v>0.98488384989489386</v>
      </c>
      <c r="R50" s="26">
        <v>1973985.58</v>
      </c>
      <c r="S50" s="26">
        <v>1971419.64</v>
      </c>
      <c r="T50" s="96">
        <f>S50/R50</f>
        <v>0.99870012221669813</v>
      </c>
      <c r="U50" s="26">
        <v>1465000</v>
      </c>
      <c r="V50" s="26">
        <v>1304454.02</v>
      </c>
      <c r="W50" s="96">
        <f>V50/U50</f>
        <v>0.89041230034129693</v>
      </c>
      <c r="X50" s="26">
        <v>1192982</v>
      </c>
      <c r="Y50" s="26">
        <v>1194108.99</v>
      </c>
      <c r="Z50" s="96">
        <f t="shared" si="64"/>
        <v>1.0009446831553199</v>
      </c>
      <c r="AA50" s="26">
        <v>2603765</v>
      </c>
      <c r="AB50" s="26">
        <v>2603765</v>
      </c>
      <c r="AC50" s="96">
        <f t="shared" si="65"/>
        <v>1</v>
      </c>
      <c r="AD50" s="26">
        <v>3462395</v>
      </c>
      <c r="AE50" s="26">
        <v>3462215.66</v>
      </c>
      <c r="AF50" s="96">
        <f t="shared" si="66"/>
        <v>0.99994820348342695</v>
      </c>
      <c r="AG50" s="26">
        <v>2749398.58</v>
      </c>
      <c r="AH50" s="26">
        <v>2749398.58</v>
      </c>
      <c r="AI50" s="96">
        <f t="shared" si="67"/>
        <v>1</v>
      </c>
      <c r="AJ50" s="26">
        <v>3782404.7</v>
      </c>
      <c r="AK50" s="26">
        <v>3782404.7</v>
      </c>
      <c r="AL50" s="96">
        <f t="shared" si="68"/>
        <v>1</v>
      </c>
      <c r="AM50" s="26">
        <v>79292749.090000004</v>
      </c>
      <c r="AN50" s="26">
        <v>79292749.090000004</v>
      </c>
      <c r="AO50" s="96">
        <f t="shared" si="69"/>
        <v>1</v>
      </c>
    </row>
    <row r="51" spans="1:41" ht="18.75" customHeight="1" x14ac:dyDescent="0.25">
      <c r="A51" s="35"/>
      <c r="B51" s="54" t="s">
        <v>46</v>
      </c>
      <c r="C51" s="26">
        <f>SUM(C49:C50)</f>
        <v>0</v>
      </c>
      <c r="D51" s="26">
        <f>SUM(D49:D50)</f>
        <v>0</v>
      </c>
      <c r="E51" s="16" t="e">
        <f>D51/C51</f>
        <v>#DIV/0!</v>
      </c>
      <c r="F51" s="26">
        <f>SUM(F49:F50)</f>
        <v>24857000</v>
      </c>
      <c r="G51" s="26">
        <f>SUM(G49:G50)</f>
        <v>25670267.109999999</v>
      </c>
      <c r="H51" s="16">
        <f>G51/F51</f>
        <v>1.0327178303898299</v>
      </c>
      <c r="I51" s="26">
        <f>SUM(I49:I50)</f>
        <v>34527489</v>
      </c>
      <c r="J51" s="26">
        <f>SUM(J49:J50)</f>
        <v>34243862.859999999</v>
      </c>
      <c r="K51" s="16">
        <f>J51/I51</f>
        <v>0.99178549763639057</v>
      </c>
      <c r="L51" s="26">
        <f>SUM(L49:L50)</f>
        <v>32220620</v>
      </c>
      <c r="M51" s="26">
        <f>SUM(M49:M50)</f>
        <v>30950917.909999996</v>
      </c>
      <c r="N51" s="16">
        <f>M51/L51</f>
        <v>0.96059349292471707</v>
      </c>
      <c r="O51" s="26">
        <f>SUM(O49:O50)</f>
        <v>31902183</v>
      </c>
      <c r="P51" s="26">
        <f>SUM(P49:P50)</f>
        <v>29151359.899999999</v>
      </c>
      <c r="Q51" s="16">
        <f>P51/O51</f>
        <v>0.91377320166460074</v>
      </c>
      <c r="R51" s="26">
        <f>SUM(R49:R50)</f>
        <v>39648852.899999999</v>
      </c>
      <c r="S51" s="26">
        <f>SUM(S49:S50)</f>
        <v>39646286.960000001</v>
      </c>
      <c r="T51" s="16">
        <f>S51/R51</f>
        <v>0.99993528337360804</v>
      </c>
      <c r="U51" s="26">
        <f>SUM(U49:U50)</f>
        <v>44032311</v>
      </c>
      <c r="V51" s="26">
        <f>SUM(V49:V50)</f>
        <v>45729208.580000006</v>
      </c>
      <c r="W51" s="16">
        <f>V51/U51</f>
        <v>1.0385375543881856</v>
      </c>
      <c r="X51" s="17">
        <f>SUM(X49:X50)</f>
        <v>46977821.119999997</v>
      </c>
      <c r="Y51" s="17">
        <f>SUM(Y49:Y50)</f>
        <v>46978948.109999999</v>
      </c>
      <c r="Z51" s="167">
        <f t="shared" si="64"/>
        <v>1.0000239898312253</v>
      </c>
      <c r="AA51" s="17">
        <f>SUM(AA49:AA50)</f>
        <v>55760019.68</v>
      </c>
      <c r="AB51" s="17">
        <f>SUM(AB49:AB50)</f>
        <v>55827667.57</v>
      </c>
      <c r="AC51" s="167">
        <f t="shared" si="65"/>
        <v>1.0012131970251845</v>
      </c>
      <c r="AD51" s="17">
        <f>SUM(AD49:AD50)</f>
        <v>59916429.079999998</v>
      </c>
      <c r="AE51" s="17">
        <f>SUM(AE49:AE50)</f>
        <v>60467682.399999991</v>
      </c>
      <c r="AF51" s="167">
        <f t="shared" si="66"/>
        <v>1.0092003700564993</v>
      </c>
      <c r="AG51" s="17">
        <f>SUM(AG49:AG50)</f>
        <v>76037049.920000002</v>
      </c>
      <c r="AH51" s="17">
        <f>SUM(AH49:AH50)</f>
        <v>73763948.870000005</v>
      </c>
      <c r="AI51" s="167">
        <f t="shared" si="67"/>
        <v>0.97010534926865821</v>
      </c>
      <c r="AJ51" s="17">
        <f>SUM(AJ49:AJ50)</f>
        <v>88950080.540000007</v>
      </c>
      <c r="AK51" s="17">
        <f>SUM(AK49:AK50)</f>
        <v>88950080.540000007</v>
      </c>
      <c r="AL51" s="167">
        <f t="shared" si="68"/>
        <v>1</v>
      </c>
      <c r="AM51" s="17">
        <f>SUM(AM49:AM50)</f>
        <v>203263679.38999999</v>
      </c>
      <c r="AN51" s="17">
        <f>SUM(AN49:AN50)</f>
        <v>202927081.99000001</v>
      </c>
      <c r="AO51" s="167">
        <f t="shared" si="69"/>
        <v>0.99834403568305896</v>
      </c>
    </row>
    <row r="52" spans="1:41" s="4" customFormat="1" ht="19.5" customHeight="1" x14ac:dyDescent="0.25">
      <c r="A52" s="41"/>
      <c r="B52" s="31" t="s">
        <v>107</v>
      </c>
      <c r="C52" s="20"/>
      <c r="D52" s="20"/>
      <c r="E52" s="21"/>
      <c r="F52" s="20"/>
      <c r="G52" s="20"/>
      <c r="H52" s="21"/>
      <c r="I52" s="20"/>
      <c r="J52" s="20"/>
      <c r="K52" s="21"/>
      <c r="L52" s="20"/>
      <c r="M52" s="20"/>
      <c r="N52" s="21"/>
      <c r="O52" s="20"/>
      <c r="P52" s="20"/>
      <c r="Q52" s="21"/>
      <c r="R52" s="20"/>
      <c r="S52" s="20"/>
      <c r="T52" s="21"/>
      <c r="U52" s="20"/>
      <c r="V52" s="20"/>
      <c r="W52" s="16"/>
      <c r="X52" s="12">
        <f>X49+X44</f>
        <v>176938900.91</v>
      </c>
      <c r="Y52" s="12">
        <f>Y49+Y44</f>
        <v>176938900.91</v>
      </c>
      <c r="Z52" s="16">
        <f t="shared" si="64"/>
        <v>1</v>
      </c>
      <c r="AA52" s="12">
        <f>AA49+AA44</f>
        <v>203843784.38999999</v>
      </c>
      <c r="AB52" s="12">
        <f>AB49+AB44</f>
        <v>203843784.38999999</v>
      </c>
      <c r="AC52" s="16">
        <f t="shared" si="65"/>
        <v>1</v>
      </c>
      <c r="AD52" s="12">
        <f>AD49+AD44</f>
        <v>221447181.77999997</v>
      </c>
      <c r="AE52" s="12">
        <f>AE49+AE44</f>
        <v>221447181.78000003</v>
      </c>
      <c r="AF52" s="16">
        <f t="shared" si="66"/>
        <v>1.0000000000000002</v>
      </c>
      <c r="AG52" s="12">
        <f>AG49+AG44</f>
        <v>290454059.32999998</v>
      </c>
      <c r="AH52" s="12">
        <f>AH49+AH44</f>
        <v>288707821.54000002</v>
      </c>
      <c r="AI52" s="16">
        <f t="shared" si="67"/>
        <v>0.9939879036497955</v>
      </c>
      <c r="AJ52" s="12">
        <f>AJ49+AJ44</f>
        <v>350829463.52999997</v>
      </c>
      <c r="AK52" s="12">
        <f>AK49+AK44</f>
        <v>350812964.05000001</v>
      </c>
      <c r="AL52" s="16">
        <f t="shared" si="68"/>
        <v>0.99995297008457062</v>
      </c>
      <c r="AM52" s="12">
        <f>AM49+AM44</f>
        <v>476860403.86000001</v>
      </c>
      <c r="AN52" s="12">
        <f>AN49+AN44</f>
        <v>472134565.11000001</v>
      </c>
      <c r="AO52" s="16">
        <f t="shared" si="69"/>
        <v>0.99008968093860139</v>
      </c>
    </row>
    <row r="53" spans="1:41" s="4" customFormat="1" ht="19.5" customHeight="1" x14ac:dyDescent="0.25">
      <c r="A53" s="41"/>
      <c r="B53" s="31" t="s">
        <v>108</v>
      </c>
      <c r="C53" s="20"/>
      <c r="D53" s="20"/>
      <c r="E53" s="21"/>
      <c r="F53" s="20"/>
      <c r="G53" s="20"/>
      <c r="H53" s="21"/>
      <c r="I53" s="20"/>
      <c r="J53" s="20"/>
      <c r="K53" s="21"/>
      <c r="L53" s="20"/>
      <c r="M53" s="20"/>
      <c r="N53" s="21"/>
      <c r="O53" s="20"/>
      <c r="P53" s="20"/>
      <c r="Q53" s="21"/>
      <c r="R53" s="20"/>
      <c r="S53" s="20"/>
      <c r="T53" s="21"/>
      <c r="U53" s="20"/>
      <c r="V53" s="20"/>
      <c r="W53" s="16"/>
      <c r="X53" s="12">
        <f>X45+X50</f>
        <v>5006270</v>
      </c>
      <c r="Y53" s="12">
        <f>Y45+Y50</f>
        <v>5006270</v>
      </c>
      <c r="Z53" s="16">
        <f t="shared" si="64"/>
        <v>1</v>
      </c>
      <c r="AA53" s="12">
        <f>AA45+AA50</f>
        <v>10147711.609999999</v>
      </c>
      <c r="AB53" s="12">
        <f>AB45+AB50</f>
        <v>10147711.609999999</v>
      </c>
      <c r="AC53" s="16">
        <f t="shared" si="65"/>
        <v>1</v>
      </c>
      <c r="AD53" s="12">
        <f>AD45+AD50</f>
        <v>170358122.22</v>
      </c>
      <c r="AE53" s="12">
        <f>AE45+AE50</f>
        <v>170358062.03999999</v>
      </c>
      <c r="AF53" s="16">
        <f t="shared" si="66"/>
        <v>0.99999964674416919</v>
      </c>
      <c r="AG53" s="12">
        <f>AG45+AG50</f>
        <v>167576570.66999999</v>
      </c>
      <c r="AH53" s="12">
        <f>AH45+AH50</f>
        <v>167576570.66999999</v>
      </c>
      <c r="AI53" s="16">
        <f t="shared" si="67"/>
        <v>1</v>
      </c>
      <c r="AJ53" s="12">
        <f>AJ45+AJ50</f>
        <v>222080267.47</v>
      </c>
      <c r="AK53" s="12">
        <f>AK45+AK50</f>
        <v>222080267.47</v>
      </c>
      <c r="AL53" s="16">
        <f t="shared" si="68"/>
        <v>1</v>
      </c>
      <c r="AM53" s="12">
        <f>AM45+AM50</f>
        <v>258445710.14000002</v>
      </c>
      <c r="AN53" s="12">
        <f>AN45+AN50</f>
        <v>258445710.14000002</v>
      </c>
      <c r="AO53" s="16">
        <f t="shared" si="69"/>
        <v>1</v>
      </c>
    </row>
    <row r="54" spans="1:41" s="4" customFormat="1" ht="19.5" customHeight="1" x14ac:dyDescent="0.25">
      <c r="A54" s="41"/>
      <c r="B54" s="31" t="s">
        <v>109</v>
      </c>
      <c r="C54" s="20"/>
      <c r="D54" s="20"/>
      <c r="E54" s="21"/>
      <c r="F54" s="20"/>
      <c r="G54" s="20"/>
      <c r="H54" s="21"/>
      <c r="I54" s="20"/>
      <c r="J54" s="20"/>
      <c r="K54" s="21"/>
      <c r="L54" s="20"/>
      <c r="M54" s="20"/>
      <c r="N54" s="21"/>
      <c r="O54" s="20"/>
      <c r="P54" s="20"/>
      <c r="Q54" s="21"/>
      <c r="R54" s="20"/>
      <c r="S54" s="20"/>
      <c r="T54" s="21"/>
      <c r="U54" s="20"/>
      <c r="V54" s="20"/>
      <c r="W54" s="16"/>
      <c r="X54" s="12">
        <f>X46</f>
        <v>0</v>
      </c>
      <c r="Y54" s="12">
        <f>Y46</f>
        <v>0</v>
      </c>
      <c r="Z54" s="16" t="e">
        <f t="shared" si="64"/>
        <v>#DIV/0!</v>
      </c>
      <c r="AA54" s="12">
        <f>AA46</f>
        <v>0</v>
      </c>
      <c r="AB54" s="12">
        <f>AB46</f>
        <v>0</v>
      </c>
      <c r="AC54" s="16" t="e">
        <f t="shared" si="65"/>
        <v>#DIV/0!</v>
      </c>
      <c r="AD54" s="12">
        <f>AD46</f>
        <v>0</v>
      </c>
      <c r="AE54" s="12">
        <f>AE46</f>
        <v>0</v>
      </c>
      <c r="AF54" s="16" t="e">
        <f t="shared" si="66"/>
        <v>#DIV/0!</v>
      </c>
      <c r="AG54" s="12">
        <f>AG46</f>
        <v>0</v>
      </c>
      <c r="AH54" s="12">
        <f>AH46</f>
        <v>0</v>
      </c>
      <c r="AI54" s="16" t="e">
        <f t="shared" si="67"/>
        <v>#DIV/0!</v>
      </c>
      <c r="AJ54" s="12">
        <f>AJ46</f>
        <v>0</v>
      </c>
      <c r="AK54" s="12">
        <f>AK46</f>
        <v>0</v>
      </c>
      <c r="AL54" s="16" t="e">
        <f t="shared" si="68"/>
        <v>#DIV/0!</v>
      </c>
      <c r="AM54" s="12">
        <f>AM46</f>
        <v>20000000</v>
      </c>
      <c r="AN54" s="12">
        <f>AN46</f>
        <v>14997066</v>
      </c>
      <c r="AO54" s="16">
        <f t="shared" si="69"/>
        <v>0.74985329999999994</v>
      </c>
    </row>
    <row r="55" spans="1:41" s="3" customFormat="1" ht="21.75" customHeight="1" x14ac:dyDescent="0.25">
      <c r="A55" s="30"/>
      <c r="B55" s="31" t="s">
        <v>118</v>
      </c>
      <c r="C55" s="47">
        <f>C47+C51</f>
        <v>74985320</v>
      </c>
      <c r="D55" s="47">
        <f>D47+D51</f>
        <v>76453271.200000003</v>
      </c>
      <c r="E55" s="51">
        <f>D55/C55</f>
        <v>1.0195765144430937</v>
      </c>
      <c r="F55" s="47">
        <f>F47+F51</f>
        <v>86966040</v>
      </c>
      <c r="G55" s="47">
        <f>G47+G51</f>
        <v>81754832</v>
      </c>
      <c r="H55" s="51">
        <f>G55/F55</f>
        <v>0.94007766709855944</v>
      </c>
      <c r="I55" s="47">
        <f>I47+I51</f>
        <v>124662604</v>
      </c>
      <c r="J55" s="47">
        <f>J47+J51</f>
        <v>111435389.84999999</v>
      </c>
      <c r="K55" s="51">
        <f>J55/I55</f>
        <v>0.89389589399239566</v>
      </c>
      <c r="L55" s="47">
        <f>L47+L51</f>
        <v>130152093</v>
      </c>
      <c r="M55" s="47">
        <f>M47+M51</f>
        <v>108030845.56</v>
      </c>
      <c r="N55" s="51">
        <f>M55/L55</f>
        <v>0.83003540757504379</v>
      </c>
      <c r="O55" s="47">
        <f>O47+O51</f>
        <v>181128759</v>
      </c>
      <c r="P55" s="47">
        <f>P47+P51</f>
        <v>167229417.09</v>
      </c>
      <c r="Q55" s="51">
        <f>P55/O55</f>
        <v>0.92326264483488241</v>
      </c>
      <c r="R55" s="47">
        <f>R47+R51</f>
        <v>151016297</v>
      </c>
      <c r="S55" s="47">
        <f>S47+S51</f>
        <v>150997514.68000001</v>
      </c>
      <c r="T55" s="51">
        <f>S55/R55</f>
        <v>0.9998756271980368</v>
      </c>
      <c r="U55" s="47">
        <f>U47+U51</f>
        <v>179197987</v>
      </c>
      <c r="V55" s="47">
        <f>V47+V51</f>
        <v>179124835.37</v>
      </c>
      <c r="W55" s="51">
        <f>V55/U55</f>
        <v>0.9995917831934128</v>
      </c>
      <c r="X55" s="47">
        <f>X47+X51</f>
        <v>181945170.91</v>
      </c>
      <c r="Y55" s="47">
        <f>Y47+Y51</f>
        <v>181945170.90999997</v>
      </c>
      <c r="Z55" s="168">
        <f t="shared" si="64"/>
        <v>0.99999999999999989</v>
      </c>
      <c r="AA55" s="47">
        <f>AA47+AA51</f>
        <v>213991496</v>
      </c>
      <c r="AB55" s="47">
        <f>AB47+AB51</f>
        <v>213991496</v>
      </c>
      <c r="AC55" s="168">
        <f t="shared" si="65"/>
        <v>1</v>
      </c>
      <c r="AD55" s="47">
        <f>AD47+AD51</f>
        <v>391805303.99999994</v>
      </c>
      <c r="AE55" s="47">
        <f>AE47+AE51</f>
        <v>391805243.81999999</v>
      </c>
      <c r="AF55" s="168">
        <f t="shared" si="66"/>
        <v>0.99999984640330453</v>
      </c>
      <c r="AG55" s="47">
        <f>AG47+AG51</f>
        <v>458030629.99999994</v>
      </c>
      <c r="AH55" s="47">
        <f>AH47+AH51</f>
        <v>456284392.20999998</v>
      </c>
      <c r="AI55" s="168">
        <f t="shared" si="67"/>
        <v>0.99618750870438522</v>
      </c>
      <c r="AJ55" s="47">
        <f>AJ47+AJ51</f>
        <v>572909731</v>
      </c>
      <c r="AK55" s="47">
        <f>AK47+AK51</f>
        <v>572893231.51999998</v>
      </c>
      <c r="AL55" s="168">
        <f t="shared" si="68"/>
        <v>0.99997120055899347</v>
      </c>
      <c r="AM55" s="47">
        <f>AM47+AM51</f>
        <v>755306114</v>
      </c>
      <c r="AN55" s="47">
        <f>AN47+AN51</f>
        <v>745577341.25</v>
      </c>
      <c r="AO55" s="168">
        <f t="shared" si="69"/>
        <v>0.98711943069217634</v>
      </c>
    </row>
    <row r="56" spans="1:41" s="6" customFormat="1" ht="19.5" customHeight="1" x14ac:dyDescent="0.25">
      <c r="A56" s="37"/>
      <c r="B56" s="38" t="s">
        <v>28</v>
      </c>
      <c r="C56" s="18"/>
      <c r="D56" s="18"/>
      <c r="E56" s="19">
        <f>E55</f>
        <v>1.0195765144430937</v>
      </c>
      <c r="F56" s="18"/>
      <c r="G56" s="18"/>
      <c r="H56" s="19">
        <f>H55</f>
        <v>0.94007766709855944</v>
      </c>
      <c r="I56" s="18"/>
      <c r="J56" s="18"/>
      <c r="K56" s="19">
        <f>K55</f>
        <v>0.89389589399239566</v>
      </c>
      <c r="L56" s="18"/>
      <c r="M56" s="18"/>
      <c r="N56" s="19">
        <f>N55</f>
        <v>0.83003540757504379</v>
      </c>
      <c r="O56" s="18"/>
      <c r="P56" s="18"/>
      <c r="Q56" s="19">
        <f>Q55</f>
        <v>0.92326264483488241</v>
      </c>
      <c r="R56" s="18"/>
      <c r="S56" s="18"/>
      <c r="T56" s="19">
        <f>T55</f>
        <v>0.9998756271980368</v>
      </c>
      <c r="U56" s="18"/>
      <c r="V56" s="18"/>
      <c r="W56" s="19">
        <f>W55</f>
        <v>0.9995917831934128</v>
      </c>
      <c r="X56" s="18"/>
      <c r="Y56" s="18"/>
      <c r="Z56" s="19">
        <f>Z55</f>
        <v>0.99999999999999989</v>
      </c>
      <c r="AA56" s="18"/>
      <c r="AB56" s="18"/>
      <c r="AC56" s="19">
        <f>AC55</f>
        <v>1</v>
      </c>
      <c r="AD56" s="18"/>
      <c r="AE56" s="18"/>
      <c r="AF56" s="19">
        <f>AF55</f>
        <v>0.99999984640330453</v>
      </c>
      <c r="AG56" s="18"/>
      <c r="AH56" s="18"/>
      <c r="AI56" s="19">
        <f>AI55</f>
        <v>0.99618750870438522</v>
      </c>
      <c r="AJ56" s="18"/>
      <c r="AK56" s="18"/>
      <c r="AL56" s="19">
        <f>AL55</f>
        <v>0.99997120055899347</v>
      </c>
      <c r="AM56" s="18"/>
      <c r="AN56" s="18"/>
      <c r="AO56" s="19">
        <f>AO55</f>
        <v>0.98711943069217634</v>
      </c>
    </row>
    <row r="57" spans="1:41" ht="8.25" customHeight="1" x14ac:dyDescent="0.25">
      <c r="A57" s="44"/>
      <c r="B57" s="4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</row>
    <row r="58" spans="1:41" x14ac:dyDescent="0.25">
      <c r="A58" s="35"/>
      <c r="B58" s="33" t="s">
        <v>11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</row>
    <row r="59" spans="1:41" ht="16.5" customHeight="1" x14ac:dyDescent="0.25">
      <c r="A59" s="35"/>
      <c r="B59" s="53" t="s">
        <v>44</v>
      </c>
      <c r="C59" s="14"/>
      <c r="D59" s="14"/>
      <c r="E59" s="14"/>
      <c r="F59" s="14"/>
      <c r="G59" s="14"/>
      <c r="H59" s="14"/>
      <c r="I59" s="13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</row>
    <row r="60" spans="1:41" x14ac:dyDescent="0.25">
      <c r="A60" s="35"/>
      <c r="B60" s="39" t="s">
        <v>7</v>
      </c>
      <c r="C60" s="14">
        <v>30000</v>
      </c>
      <c r="D60" s="14">
        <v>0</v>
      </c>
      <c r="E60" s="16">
        <f>D60/C60</f>
        <v>0</v>
      </c>
      <c r="F60" s="14">
        <v>275263.45</v>
      </c>
      <c r="G60" s="14">
        <v>5800</v>
      </c>
      <c r="H60" s="16">
        <f>G60/F60</f>
        <v>2.1070723337951333E-2</v>
      </c>
      <c r="I60" s="14">
        <v>110276</v>
      </c>
      <c r="J60" s="14">
        <v>110276</v>
      </c>
      <c r="K60" s="16">
        <f>J60/I60</f>
        <v>1</v>
      </c>
      <c r="L60" s="14">
        <v>97543</v>
      </c>
      <c r="M60" s="14">
        <v>90043</v>
      </c>
      <c r="N60" s="16">
        <f>M60/L60</f>
        <v>0.92311083317101172</v>
      </c>
      <c r="O60" s="14">
        <v>58805</v>
      </c>
      <c r="P60" s="14">
        <v>58805</v>
      </c>
      <c r="Q60" s="16">
        <f>P60/O60</f>
        <v>1</v>
      </c>
      <c r="R60" s="14">
        <f>49959</f>
        <v>49959</v>
      </c>
      <c r="S60" s="14">
        <v>49959</v>
      </c>
      <c r="T60" s="16">
        <f>S60/R60</f>
        <v>1</v>
      </c>
      <c r="U60" s="14">
        <v>30000</v>
      </c>
      <c r="V60" s="14">
        <v>30000</v>
      </c>
      <c r="W60" s="16">
        <f>V60/U60</f>
        <v>1</v>
      </c>
      <c r="X60" s="14">
        <v>30000</v>
      </c>
      <c r="Y60" s="14">
        <v>30000</v>
      </c>
      <c r="Z60" s="16">
        <f>Y60/X60</f>
        <v>1</v>
      </c>
      <c r="AA60" s="14">
        <f>57778.76-AA64</f>
        <v>54778.76</v>
      </c>
      <c r="AB60" s="14">
        <f>57778.76-AB64</f>
        <v>54778.76</v>
      </c>
      <c r="AC60" s="16">
        <f>AB60/AA60</f>
        <v>1</v>
      </c>
      <c r="AD60" s="14">
        <f>35167.47-AD64</f>
        <v>34167.47</v>
      </c>
      <c r="AE60" s="14">
        <f>35167.47-AE64</f>
        <v>34167.47</v>
      </c>
      <c r="AF60" s="16">
        <f>AE60/AD60</f>
        <v>1</v>
      </c>
      <c r="AG60" s="14">
        <f>112968.77-AG64</f>
        <v>111968.77</v>
      </c>
      <c r="AH60" s="14">
        <f>111839.82-AH64</f>
        <v>111839.82</v>
      </c>
      <c r="AI60" s="16">
        <f>AH60/AG60</f>
        <v>0.99884833958611852</v>
      </c>
      <c r="AJ60" s="14">
        <f>74271.79-AJ64</f>
        <v>66271.789999999994</v>
      </c>
      <c r="AK60" s="14">
        <f>74271.73-AK64</f>
        <v>66271.73</v>
      </c>
      <c r="AL60" s="16">
        <f>AK60/AJ60</f>
        <v>0.99999909463740155</v>
      </c>
      <c r="AM60" s="14">
        <v>62153.46</v>
      </c>
      <c r="AN60" s="14">
        <v>62153.46</v>
      </c>
      <c r="AO60" s="16">
        <f>AN60/AM60</f>
        <v>1</v>
      </c>
    </row>
    <row r="61" spans="1:41" x14ac:dyDescent="0.25">
      <c r="A61" s="35"/>
      <c r="B61" s="39" t="s">
        <v>8</v>
      </c>
      <c r="C61" s="14">
        <v>500000</v>
      </c>
      <c r="D61" s="14">
        <v>421385.5</v>
      </c>
      <c r="E61" s="16">
        <f>D61/C61</f>
        <v>0.84277100000000005</v>
      </c>
      <c r="F61" s="14">
        <v>231736.55</v>
      </c>
      <c r="G61" s="14">
        <v>231736.55</v>
      </c>
      <c r="H61" s="16">
        <f>G61/F61</f>
        <v>1</v>
      </c>
      <c r="I61" s="14">
        <v>396724</v>
      </c>
      <c r="J61" s="14">
        <v>387095</v>
      </c>
      <c r="K61" s="16">
        <f>J61/I61</f>
        <v>0.97572871820207496</v>
      </c>
      <c r="L61" s="14">
        <v>346457</v>
      </c>
      <c r="M61" s="14">
        <v>346456.63</v>
      </c>
      <c r="N61" s="16">
        <f>M61/L61</f>
        <v>0.99999893204640111</v>
      </c>
      <c r="O61" s="14">
        <v>376195</v>
      </c>
      <c r="P61" s="14">
        <v>376194.46</v>
      </c>
      <c r="Q61" s="16">
        <f>P61/O61</f>
        <v>0.99999856457422354</v>
      </c>
      <c r="R61" s="14">
        <f>395041-R65</f>
        <v>364258</v>
      </c>
      <c r="S61" s="14">
        <f>395041-S65</f>
        <v>364258</v>
      </c>
      <c r="T61" s="16">
        <f>S61/R61</f>
        <v>1</v>
      </c>
      <c r="U61" s="14">
        <f>306555-U65</f>
        <v>286555</v>
      </c>
      <c r="V61" s="14">
        <v>306554.7</v>
      </c>
      <c r="W61" s="16">
        <f>V61/U61</f>
        <v>1.0697935823838356</v>
      </c>
      <c r="X61" s="14">
        <f>220790-X65</f>
        <v>213590</v>
      </c>
      <c r="Y61" s="14">
        <f>220790-Y65</f>
        <v>213590</v>
      </c>
      <c r="Z61" s="16">
        <f>Y61/X61</f>
        <v>1</v>
      </c>
      <c r="AA61" s="14">
        <f>378221.24-AA65</f>
        <v>372221.24</v>
      </c>
      <c r="AB61" s="14">
        <f>378221.24-AB65</f>
        <v>372221.24</v>
      </c>
      <c r="AC61" s="16">
        <f>AB61/AA61</f>
        <v>1</v>
      </c>
      <c r="AD61" s="14">
        <f>400832.53-AD65</f>
        <v>377731.53</v>
      </c>
      <c r="AE61" s="14">
        <f>400832.53-AE65</f>
        <v>377731.53</v>
      </c>
      <c r="AF61" s="16">
        <f>AE61/AD61</f>
        <v>1</v>
      </c>
      <c r="AG61" s="14">
        <f>338031.23-AG65</f>
        <v>310203.23</v>
      </c>
      <c r="AH61" s="14">
        <f>338031.23-AH65</f>
        <v>310203.23</v>
      </c>
      <c r="AI61" s="16">
        <f>AH61/AG61</f>
        <v>1</v>
      </c>
      <c r="AJ61" s="14">
        <f>384728.21-AJ65</f>
        <v>363728.21</v>
      </c>
      <c r="AK61" s="14">
        <f>384728.21-AK65</f>
        <v>363728.21</v>
      </c>
      <c r="AL61" s="16">
        <f>AK61/AJ61</f>
        <v>1</v>
      </c>
      <c r="AM61" s="14">
        <v>264846.53999999998</v>
      </c>
      <c r="AN61" s="14">
        <v>264846.53999999998</v>
      </c>
      <c r="AO61" s="16">
        <f>AN61/AM61</f>
        <v>1</v>
      </c>
    </row>
    <row r="62" spans="1:41" x14ac:dyDescent="0.25">
      <c r="A62" s="35"/>
      <c r="B62" s="54" t="s">
        <v>46</v>
      </c>
      <c r="C62" s="17">
        <f>SUM(C58:C61)</f>
        <v>530000</v>
      </c>
      <c r="D62" s="17">
        <f>SUM(D58:D61)</f>
        <v>421385.5</v>
      </c>
      <c r="E62" s="16">
        <f>D62/C62</f>
        <v>0.79506698113207552</v>
      </c>
      <c r="F62" s="17">
        <f>SUM(F58:F61)</f>
        <v>507000</v>
      </c>
      <c r="G62" s="17">
        <f>SUM(G58:G61)</f>
        <v>237536.55</v>
      </c>
      <c r="H62" s="16">
        <f>G62/F62</f>
        <v>0.46851390532544379</v>
      </c>
      <c r="I62" s="17">
        <f>SUM(I58:I61)</f>
        <v>507000</v>
      </c>
      <c r="J62" s="17">
        <f>SUM(J58:J61)</f>
        <v>497371</v>
      </c>
      <c r="K62" s="16">
        <f>J62/I62</f>
        <v>0.9810078895463511</v>
      </c>
      <c r="L62" s="17">
        <f>SUM(L58:L61)</f>
        <v>444000</v>
      </c>
      <c r="M62" s="17">
        <f>SUM(M58:M61)</f>
        <v>436499.63</v>
      </c>
      <c r="N62" s="16">
        <f>M62/L62</f>
        <v>0.98310727477477478</v>
      </c>
      <c r="O62" s="17">
        <f>SUM(O58:O61)</f>
        <v>435000</v>
      </c>
      <c r="P62" s="17">
        <f>SUM(P58:P61)</f>
        <v>434999.46</v>
      </c>
      <c r="Q62" s="16">
        <f>P62/O62</f>
        <v>0.99999875862068965</v>
      </c>
      <c r="R62" s="17">
        <f>SUM(R58:R61)</f>
        <v>414217</v>
      </c>
      <c r="S62" s="17">
        <f>SUM(S58:S61)</f>
        <v>414217</v>
      </c>
      <c r="T62" s="16">
        <f>S62/R62</f>
        <v>1</v>
      </c>
      <c r="U62" s="17">
        <f>SUM(U58:U61)</f>
        <v>316555</v>
      </c>
      <c r="V62" s="17">
        <f>SUM(V58:V61)</f>
        <v>336554.7</v>
      </c>
      <c r="W62" s="16">
        <f>V62/U62</f>
        <v>1.0631792263587687</v>
      </c>
      <c r="X62" s="17">
        <f>SUM(X58:X61)</f>
        <v>243590</v>
      </c>
      <c r="Y62" s="17">
        <f>SUM(Y58:Y61)</f>
        <v>243590</v>
      </c>
      <c r="Z62" s="167">
        <f>Y62/X62</f>
        <v>1</v>
      </c>
      <c r="AA62" s="17">
        <f>SUM(AA58:AA61)</f>
        <v>427000</v>
      </c>
      <c r="AB62" s="17">
        <f>SUM(AB58:AB61)</f>
        <v>427000</v>
      </c>
      <c r="AC62" s="167">
        <f>AB62/AA62</f>
        <v>1</v>
      </c>
      <c r="AD62" s="17">
        <f>SUM(AD58:AD61)</f>
        <v>411899</v>
      </c>
      <c r="AE62" s="17">
        <f>SUM(AE58:AE61)</f>
        <v>411899</v>
      </c>
      <c r="AF62" s="167">
        <f>AE62/AD62</f>
        <v>1</v>
      </c>
      <c r="AG62" s="17">
        <f>SUM(AG58:AG61)</f>
        <v>422172</v>
      </c>
      <c r="AH62" s="17">
        <f>SUM(AH58:AH61)</f>
        <v>422043.05</v>
      </c>
      <c r="AI62" s="167">
        <f>AH62/AG62</f>
        <v>0.99969455577347621</v>
      </c>
      <c r="AJ62" s="17">
        <f>SUM(AJ58:AJ61)</f>
        <v>430000</v>
      </c>
      <c r="AK62" s="17">
        <f>SUM(AK58:AK61)</f>
        <v>429999.94</v>
      </c>
      <c r="AL62" s="167">
        <f>AK62/AJ62</f>
        <v>0.99999986046511624</v>
      </c>
      <c r="AM62" s="17">
        <f>SUM(AM58:AM61)</f>
        <v>327000</v>
      </c>
      <c r="AN62" s="17">
        <f>SUM(AN58:AN61)</f>
        <v>327000</v>
      </c>
      <c r="AO62" s="167">
        <f>AN62/AM62</f>
        <v>1</v>
      </c>
    </row>
    <row r="63" spans="1:41" ht="22.5" customHeight="1" x14ac:dyDescent="0.25">
      <c r="A63" s="35"/>
      <c r="B63" s="53" t="s">
        <v>45</v>
      </c>
      <c r="C63" s="14"/>
      <c r="D63" s="14"/>
      <c r="E63" s="14"/>
      <c r="F63" s="14"/>
      <c r="G63" s="14"/>
      <c r="H63" s="14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</row>
    <row r="64" spans="1:41" x14ac:dyDescent="0.25">
      <c r="A64" s="35"/>
      <c r="B64" s="36" t="s">
        <v>7</v>
      </c>
      <c r="C64" s="14"/>
      <c r="D64" s="14"/>
      <c r="E64" s="16" t="e">
        <f>D64/C64</f>
        <v>#DIV/0!</v>
      </c>
      <c r="F64" s="14"/>
      <c r="G64" s="14"/>
      <c r="H64" s="16" t="e">
        <f>G64/F64</f>
        <v>#DIV/0!</v>
      </c>
      <c r="I64" s="14"/>
      <c r="J64" s="14"/>
      <c r="K64" s="16" t="e">
        <f>J64/I64</f>
        <v>#DIV/0!</v>
      </c>
      <c r="L64" s="14"/>
      <c r="M64" s="14"/>
      <c r="N64" s="16" t="e">
        <f>M64/L64</f>
        <v>#DIV/0!</v>
      </c>
      <c r="O64" s="14"/>
      <c r="P64" s="14"/>
      <c r="Q64" s="16" t="e">
        <f>P64/O64</f>
        <v>#DIV/0!</v>
      </c>
      <c r="R64" s="14"/>
      <c r="S64" s="14"/>
      <c r="T64" s="16" t="e">
        <f>S64/R64</f>
        <v>#DIV/0!</v>
      </c>
      <c r="U64" s="14"/>
      <c r="V64" s="14"/>
      <c r="W64" s="16" t="e">
        <f>V64/U64</f>
        <v>#DIV/0!</v>
      </c>
      <c r="X64" s="14"/>
      <c r="Y64" s="14"/>
      <c r="Z64" s="16" t="e">
        <f t="shared" ref="Z64:Z69" si="70">Y64/X64</f>
        <v>#DIV/0!</v>
      </c>
      <c r="AA64" s="14">
        <v>3000</v>
      </c>
      <c r="AB64" s="14">
        <v>3000</v>
      </c>
      <c r="AC64" s="16">
        <f t="shared" ref="AC64:AC69" si="71">AB64/AA64</f>
        <v>1</v>
      </c>
      <c r="AD64" s="14">
        <v>1000</v>
      </c>
      <c r="AE64" s="14">
        <v>1000</v>
      </c>
      <c r="AF64" s="16">
        <f t="shared" ref="AF64:AF69" si="72">AE64/AD64</f>
        <v>1</v>
      </c>
      <c r="AG64" s="14">
        <v>1000</v>
      </c>
      <c r="AH64" s="14">
        <v>0</v>
      </c>
      <c r="AI64" s="16">
        <f t="shared" ref="AI64:AI69" si="73">AH64/AG64</f>
        <v>0</v>
      </c>
      <c r="AJ64" s="14">
        <v>8000</v>
      </c>
      <c r="AK64" s="14">
        <v>8000</v>
      </c>
      <c r="AL64" s="16">
        <f t="shared" ref="AL64:AL69" si="74">AK64/AJ64</f>
        <v>1</v>
      </c>
      <c r="AM64" s="14">
        <v>49480.9</v>
      </c>
      <c r="AN64" s="14">
        <v>49480.9</v>
      </c>
      <c r="AO64" s="16">
        <f t="shared" ref="AO64:AO69" si="75">AN64/AM64</f>
        <v>1</v>
      </c>
    </row>
    <row r="65" spans="1:41" x14ac:dyDescent="0.25">
      <c r="A65" s="35"/>
      <c r="B65" s="36" t="s">
        <v>8</v>
      </c>
      <c r="C65" s="14"/>
      <c r="D65" s="14"/>
      <c r="E65" s="16" t="e">
        <f>D65/C65</f>
        <v>#DIV/0!</v>
      </c>
      <c r="F65" s="14"/>
      <c r="G65" s="14"/>
      <c r="H65" s="16" t="e">
        <f>G65/F65</f>
        <v>#DIV/0!</v>
      </c>
      <c r="I65" s="14"/>
      <c r="J65" s="14"/>
      <c r="K65" s="16" t="e">
        <f>J65/I65</f>
        <v>#DIV/0!</v>
      </c>
      <c r="L65" s="14"/>
      <c r="M65" s="14"/>
      <c r="N65" s="16" t="e">
        <f>M65/L65</f>
        <v>#DIV/0!</v>
      </c>
      <c r="O65" s="14"/>
      <c r="P65" s="14"/>
      <c r="Q65" s="16" t="e">
        <f>P65/O65</f>
        <v>#DIV/0!</v>
      </c>
      <c r="R65" s="14">
        <v>30783</v>
      </c>
      <c r="S65" s="14">
        <v>30783</v>
      </c>
      <c r="T65" s="16">
        <f>S65/R65</f>
        <v>1</v>
      </c>
      <c r="U65" s="14">
        <v>20000</v>
      </c>
      <c r="V65" s="14"/>
      <c r="W65" s="16">
        <f>V65/U65</f>
        <v>0</v>
      </c>
      <c r="X65" s="14">
        <v>7200</v>
      </c>
      <c r="Y65" s="14">
        <v>7200</v>
      </c>
      <c r="Z65" s="16">
        <f t="shared" si="70"/>
        <v>1</v>
      </c>
      <c r="AA65" s="14">
        <v>6000</v>
      </c>
      <c r="AB65" s="14">
        <v>6000</v>
      </c>
      <c r="AC65" s="16">
        <f t="shared" si="71"/>
        <v>1</v>
      </c>
      <c r="AD65" s="14">
        <v>23101</v>
      </c>
      <c r="AE65" s="14">
        <v>23101</v>
      </c>
      <c r="AF65" s="16">
        <f t="shared" si="72"/>
        <v>1</v>
      </c>
      <c r="AG65" s="14">
        <v>27828</v>
      </c>
      <c r="AH65" s="14">
        <v>27828</v>
      </c>
      <c r="AI65" s="16">
        <f t="shared" si="73"/>
        <v>1</v>
      </c>
      <c r="AJ65" s="14">
        <v>21000</v>
      </c>
      <c r="AK65" s="14">
        <v>21000</v>
      </c>
      <c r="AL65" s="16">
        <f t="shared" si="74"/>
        <v>1</v>
      </c>
      <c r="AM65" s="14">
        <v>90519.1</v>
      </c>
      <c r="AN65" s="14">
        <v>90519.1</v>
      </c>
      <c r="AO65" s="16">
        <f t="shared" si="75"/>
        <v>1</v>
      </c>
    </row>
    <row r="66" spans="1:41" ht="18.75" customHeight="1" x14ac:dyDescent="0.25">
      <c r="A66" s="35"/>
      <c r="B66" s="54" t="s">
        <v>46</v>
      </c>
      <c r="C66" s="17">
        <f>SUM(C64:C65)</f>
        <v>0</v>
      </c>
      <c r="D66" s="17">
        <f>SUM(D64:D65)</f>
        <v>0</v>
      </c>
      <c r="E66" s="16" t="e">
        <f>D66/C66</f>
        <v>#DIV/0!</v>
      </c>
      <c r="F66" s="17">
        <f>SUM(F64:F65)</f>
        <v>0</v>
      </c>
      <c r="G66" s="17">
        <f>SUM(G64:G65)</f>
        <v>0</v>
      </c>
      <c r="H66" s="16" t="e">
        <f>G66/F66</f>
        <v>#DIV/0!</v>
      </c>
      <c r="I66" s="17">
        <f>SUM(I64:I65)</f>
        <v>0</v>
      </c>
      <c r="J66" s="17">
        <f>SUM(J64:J65)</f>
        <v>0</v>
      </c>
      <c r="K66" s="16" t="e">
        <f>J66/I66</f>
        <v>#DIV/0!</v>
      </c>
      <c r="L66" s="17">
        <f>SUM(L64:L65)</f>
        <v>0</v>
      </c>
      <c r="M66" s="17">
        <f>SUM(M64:M65)</f>
        <v>0</v>
      </c>
      <c r="N66" s="16" t="e">
        <f>M66/L66</f>
        <v>#DIV/0!</v>
      </c>
      <c r="O66" s="17">
        <f>SUM(O64:O65)</f>
        <v>0</v>
      </c>
      <c r="P66" s="17">
        <f>SUM(P64:P65)</f>
        <v>0</v>
      </c>
      <c r="Q66" s="16" t="e">
        <f>P66/O66</f>
        <v>#DIV/0!</v>
      </c>
      <c r="R66" s="17">
        <f>SUM(R64:R65)</f>
        <v>30783</v>
      </c>
      <c r="S66" s="17">
        <f>SUM(S64:S65)</f>
        <v>30783</v>
      </c>
      <c r="T66" s="16">
        <f>S66/R66</f>
        <v>1</v>
      </c>
      <c r="U66" s="17">
        <f>SUM(U64:U65)</f>
        <v>20000</v>
      </c>
      <c r="V66" s="17">
        <f>SUM(V64:V65)</f>
        <v>0</v>
      </c>
      <c r="W66" s="16">
        <f>V66/U66</f>
        <v>0</v>
      </c>
      <c r="X66" s="17">
        <f>SUM(X64:X65)</f>
        <v>7200</v>
      </c>
      <c r="Y66" s="17">
        <f>SUM(Y64:Y65)</f>
        <v>7200</v>
      </c>
      <c r="Z66" s="167">
        <f t="shared" si="70"/>
        <v>1</v>
      </c>
      <c r="AA66" s="17">
        <f>SUM(AA64:AA65)</f>
        <v>9000</v>
      </c>
      <c r="AB66" s="17">
        <f>SUM(AB64:AB65)</f>
        <v>9000</v>
      </c>
      <c r="AC66" s="167">
        <f t="shared" si="71"/>
        <v>1</v>
      </c>
      <c r="AD66" s="17">
        <f>SUM(AD64:AD65)</f>
        <v>24101</v>
      </c>
      <c r="AE66" s="17">
        <f>SUM(AE64:AE65)</f>
        <v>24101</v>
      </c>
      <c r="AF66" s="167">
        <f t="shared" si="72"/>
        <v>1</v>
      </c>
      <c r="AG66" s="17">
        <f>SUM(AG64:AG65)</f>
        <v>28828</v>
      </c>
      <c r="AH66" s="17">
        <f>SUM(AH64:AH65)</f>
        <v>27828</v>
      </c>
      <c r="AI66" s="167">
        <f t="shared" si="73"/>
        <v>0.96531150270570276</v>
      </c>
      <c r="AJ66" s="17">
        <f>SUM(AJ64:AJ65)</f>
        <v>29000</v>
      </c>
      <c r="AK66" s="17">
        <f>SUM(AK64:AK65)</f>
        <v>29000</v>
      </c>
      <c r="AL66" s="167">
        <f t="shared" si="74"/>
        <v>1</v>
      </c>
      <c r="AM66" s="17">
        <f>SUM(AM64:AM65)</f>
        <v>140000</v>
      </c>
      <c r="AN66" s="17">
        <f>SUM(AN64:AN65)</f>
        <v>140000</v>
      </c>
      <c r="AO66" s="167">
        <f t="shared" si="75"/>
        <v>1</v>
      </c>
    </row>
    <row r="67" spans="1:41" s="4" customFormat="1" ht="19.5" customHeight="1" x14ac:dyDescent="0.25">
      <c r="A67" s="41"/>
      <c r="B67" s="31" t="s">
        <v>110</v>
      </c>
      <c r="C67" s="20"/>
      <c r="D67" s="20"/>
      <c r="E67" s="21"/>
      <c r="F67" s="20"/>
      <c r="G67" s="20"/>
      <c r="H67" s="21"/>
      <c r="I67" s="20"/>
      <c r="J67" s="20"/>
      <c r="K67" s="21"/>
      <c r="L67" s="20"/>
      <c r="M67" s="20"/>
      <c r="N67" s="21"/>
      <c r="O67" s="20"/>
      <c r="P67" s="20"/>
      <c r="Q67" s="21"/>
      <c r="R67" s="20"/>
      <c r="S67" s="20"/>
      <c r="T67" s="21"/>
      <c r="U67" s="20"/>
      <c r="V67" s="20"/>
      <c r="W67" s="16"/>
      <c r="X67" s="12">
        <f>SUM(X60+X64)</f>
        <v>30000</v>
      </c>
      <c r="Y67" s="12">
        <f>SUM(Y60+Y64)</f>
        <v>30000</v>
      </c>
      <c r="Z67" s="16">
        <f t="shared" si="70"/>
        <v>1</v>
      </c>
      <c r="AA67" s="12">
        <f>SUM(AA60+AA64)</f>
        <v>57778.76</v>
      </c>
      <c r="AB67" s="12">
        <f>SUM(AB60+AB64)</f>
        <v>57778.76</v>
      </c>
      <c r="AC67" s="16">
        <f t="shared" si="71"/>
        <v>1</v>
      </c>
      <c r="AD67" s="12">
        <f>SUM(AD60+AD64)</f>
        <v>35167.47</v>
      </c>
      <c r="AE67" s="12">
        <f>SUM(AE60+AE64)</f>
        <v>35167.47</v>
      </c>
      <c r="AF67" s="16">
        <f t="shared" si="72"/>
        <v>1</v>
      </c>
      <c r="AG67" s="12">
        <f>SUM(AG60+AG64)</f>
        <v>112968.77</v>
      </c>
      <c r="AH67" s="12">
        <f>SUM(AH60+AH64)</f>
        <v>111839.82</v>
      </c>
      <c r="AI67" s="16">
        <f t="shared" si="73"/>
        <v>0.99000653012332529</v>
      </c>
      <c r="AJ67" s="12">
        <f>SUM(AJ60+AJ64)</f>
        <v>74271.789999999994</v>
      </c>
      <c r="AK67" s="12">
        <f>SUM(AK60+AK64)</f>
        <v>74271.73</v>
      </c>
      <c r="AL67" s="16">
        <f t="shared" si="74"/>
        <v>0.9999991921562682</v>
      </c>
      <c r="AM67" s="12">
        <f>SUM(AM60+AM64)</f>
        <v>111634.36</v>
      </c>
      <c r="AN67" s="12">
        <f>SUM(AN60+AN64)</f>
        <v>111634.36</v>
      </c>
      <c r="AO67" s="16">
        <f t="shared" si="75"/>
        <v>1</v>
      </c>
    </row>
    <row r="68" spans="1:41" s="4" customFormat="1" ht="19.5" customHeight="1" x14ac:dyDescent="0.25">
      <c r="A68" s="41"/>
      <c r="B68" s="31" t="s">
        <v>111</v>
      </c>
      <c r="C68" s="20"/>
      <c r="D68" s="20"/>
      <c r="E68" s="21"/>
      <c r="F68" s="20"/>
      <c r="G68" s="20"/>
      <c r="H68" s="21"/>
      <c r="I68" s="20"/>
      <c r="J68" s="20"/>
      <c r="K68" s="21"/>
      <c r="L68" s="20"/>
      <c r="M68" s="20"/>
      <c r="N68" s="21"/>
      <c r="O68" s="20"/>
      <c r="P68" s="20"/>
      <c r="Q68" s="21"/>
      <c r="R68" s="20"/>
      <c r="S68" s="20"/>
      <c r="T68" s="21"/>
      <c r="U68" s="20"/>
      <c r="V68" s="20"/>
      <c r="W68" s="16"/>
      <c r="X68" s="12">
        <f>X61+X65</f>
        <v>220790</v>
      </c>
      <c r="Y68" s="12">
        <f>Y61+Y65</f>
        <v>220790</v>
      </c>
      <c r="Z68" s="16">
        <f t="shared" si="70"/>
        <v>1</v>
      </c>
      <c r="AA68" s="12">
        <f>AA61+AA65</f>
        <v>378221.24</v>
      </c>
      <c r="AB68" s="12">
        <f>AB61+AB65</f>
        <v>378221.24</v>
      </c>
      <c r="AC68" s="16">
        <f t="shared" si="71"/>
        <v>1</v>
      </c>
      <c r="AD68" s="12">
        <f>AD61+AD65</f>
        <v>400832.53</v>
      </c>
      <c r="AE68" s="12">
        <f>AE61+AE65</f>
        <v>400832.53</v>
      </c>
      <c r="AF68" s="16">
        <f t="shared" si="72"/>
        <v>1</v>
      </c>
      <c r="AG68" s="12">
        <f>AG61+AG65</f>
        <v>338031.23</v>
      </c>
      <c r="AH68" s="12">
        <f>AH61+AH65</f>
        <v>338031.23</v>
      </c>
      <c r="AI68" s="16">
        <f t="shared" si="73"/>
        <v>1</v>
      </c>
      <c r="AJ68" s="12">
        <f>AJ61+AJ65</f>
        <v>384728.21</v>
      </c>
      <c r="AK68" s="12">
        <f>AK61+AK65</f>
        <v>384728.21</v>
      </c>
      <c r="AL68" s="16">
        <f t="shared" si="74"/>
        <v>1</v>
      </c>
      <c r="AM68" s="12">
        <f>AM61+AM65</f>
        <v>355365.64</v>
      </c>
      <c r="AN68" s="12">
        <f>AN61+AN65</f>
        <v>355365.64</v>
      </c>
      <c r="AO68" s="16">
        <f t="shared" si="75"/>
        <v>1</v>
      </c>
    </row>
    <row r="69" spans="1:41" s="3" customFormat="1" ht="21.75" customHeight="1" x14ac:dyDescent="0.25">
      <c r="A69" s="30"/>
      <c r="B69" s="31" t="s">
        <v>117</v>
      </c>
      <c r="C69" s="47">
        <f>C62+C66</f>
        <v>530000</v>
      </c>
      <c r="D69" s="47">
        <f>D62+D66</f>
        <v>421385.5</v>
      </c>
      <c r="E69" s="51">
        <f>D69/C69</f>
        <v>0.79506698113207552</v>
      </c>
      <c r="F69" s="47">
        <f>F62+F66</f>
        <v>507000</v>
      </c>
      <c r="G69" s="47">
        <f>G62+G66</f>
        <v>237536.55</v>
      </c>
      <c r="H69" s="51">
        <f>G69/F69</f>
        <v>0.46851390532544379</v>
      </c>
      <c r="I69" s="47">
        <f>I62+I66</f>
        <v>507000</v>
      </c>
      <c r="J69" s="47">
        <f>J62+J66</f>
        <v>497371</v>
      </c>
      <c r="K69" s="51">
        <f>J69/I69</f>
        <v>0.9810078895463511</v>
      </c>
      <c r="L69" s="47">
        <f>L62+L66</f>
        <v>444000</v>
      </c>
      <c r="M69" s="47">
        <f>M62+M66</f>
        <v>436499.63</v>
      </c>
      <c r="N69" s="51">
        <f>M69/L69</f>
        <v>0.98310727477477478</v>
      </c>
      <c r="O69" s="47">
        <f>O62+O66</f>
        <v>435000</v>
      </c>
      <c r="P69" s="47">
        <f>P62+P66</f>
        <v>434999.46</v>
      </c>
      <c r="Q69" s="51">
        <f>P69/O69</f>
        <v>0.99999875862068965</v>
      </c>
      <c r="R69" s="47">
        <f>R62+R66</f>
        <v>445000</v>
      </c>
      <c r="S69" s="47">
        <f>S62+S66</f>
        <v>445000</v>
      </c>
      <c r="T69" s="51">
        <f>S69/R69</f>
        <v>1</v>
      </c>
      <c r="U69" s="47">
        <f>U62+U66</f>
        <v>336555</v>
      </c>
      <c r="V69" s="47">
        <f>V62+V66</f>
        <v>336554.7</v>
      </c>
      <c r="W69" s="51">
        <f>V69/U69</f>
        <v>0.99999910861523378</v>
      </c>
      <c r="X69" s="47">
        <f>X62+X66</f>
        <v>250790</v>
      </c>
      <c r="Y69" s="47">
        <f>Y62+Y66</f>
        <v>250790</v>
      </c>
      <c r="Z69" s="168">
        <f t="shared" si="70"/>
        <v>1</v>
      </c>
      <c r="AA69" s="47">
        <f>AA62+AA66</f>
        <v>436000</v>
      </c>
      <c r="AB69" s="47">
        <f>AB62+AB66</f>
        <v>436000</v>
      </c>
      <c r="AC69" s="168">
        <f t="shared" si="71"/>
        <v>1</v>
      </c>
      <c r="AD69" s="47">
        <f>AD62+AD66</f>
        <v>436000</v>
      </c>
      <c r="AE69" s="47">
        <f>AE62+AE66</f>
        <v>436000</v>
      </c>
      <c r="AF69" s="168">
        <f t="shared" si="72"/>
        <v>1</v>
      </c>
      <c r="AG69" s="47">
        <f>AG62+AG66</f>
        <v>451000</v>
      </c>
      <c r="AH69" s="47">
        <f>AH62+AH66</f>
        <v>449871.05</v>
      </c>
      <c r="AI69" s="168">
        <f t="shared" si="73"/>
        <v>0.99749678492239469</v>
      </c>
      <c r="AJ69" s="47">
        <f>AJ62+AJ66</f>
        <v>459000</v>
      </c>
      <c r="AK69" s="47">
        <f>AK62+AK66</f>
        <v>458999.94</v>
      </c>
      <c r="AL69" s="168">
        <f t="shared" si="74"/>
        <v>0.99999986928104578</v>
      </c>
      <c r="AM69" s="47">
        <f>AM62+AM66</f>
        <v>467000</v>
      </c>
      <c r="AN69" s="47">
        <f>AN62+AN66</f>
        <v>467000</v>
      </c>
      <c r="AO69" s="168">
        <f t="shared" si="75"/>
        <v>1</v>
      </c>
    </row>
    <row r="70" spans="1:41" s="6" customFormat="1" ht="19.5" customHeight="1" x14ac:dyDescent="0.25">
      <c r="A70" s="37"/>
      <c r="B70" s="38" t="s">
        <v>28</v>
      </c>
      <c r="C70" s="18"/>
      <c r="D70" s="18"/>
      <c r="E70" s="19">
        <f>E69</f>
        <v>0.79506698113207552</v>
      </c>
      <c r="F70" s="18"/>
      <c r="G70" s="18"/>
      <c r="H70" s="19">
        <f>H69</f>
        <v>0.46851390532544379</v>
      </c>
      <c r="I70" s="18"/>
      <c r="J70" s="18"/>
      <c r="K70" s="19">
        <f>K69</f>
        <v>0.9810078895463511</v>
      </c>
      <c r="L70" s="18"/>
      <c r="M70" s="18"/>
      <c r="N70" s="19">
        <f>N69</f>
        <v>0.98310727477477478</v>
      </c>
      <c r="O70" s="18"/>
      <c r="P70" s="18"/>
      <c r="Q70" s="19"/>
      <c r="R70" s="18"/>
      <c r="S70" s="18"/>
      <c r="T70" s="19"/>
      <c r="U70" s="18"/>
      <c r="V70" s="18"/>
      <c r="W70" s="19"/>
      <c r="X70" s="18"/>
      <c r="Y70" s="18"/>
      <c r="Z70" s="19"/>
      <c r="AA70" s="18"/>
      <c r="AB70" s="18"/>
      <c r="AC70" s="19"/>
      <c r="AD70" s="18"/>
      <c r="AE70" s="18"/>
      <c r="AF70" s="19"/>
      <c r="AG70" s="18"/>
      <c r="AH70" s="18"/>
      <c r="AI70" s="19"/>
      <c r="AJ70" s="18"/>
      <c r="AK70" s="18"/>
      <c r="AL70" s="19"/>
      <c r="AM70" s="18"/>
      <c r="AN70" s="18"/>
      <c r="AO70" s="19"/>
    </row>
    <row r="71" spans="1:41" ht="13.5" customHeight="1" x14ac:dyDescent="0.25">
      <c r="A71" s="35"/>
      <c r="B71" s="3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</row>
    <row r="72" spans="1:41" x14ac:dyDescent="0.25">
      <c r="A72" s="35"/>
      <c r="B72" s="31" t="s">
        <v>12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</row>
    <row r="73" spans="1:41" ht="16.5" customHeight="1" x14ac:dyDescent="0.25">
      <c r="A73" s="35"/>
      <c r="B73" s="53" t="s">
        <v>44</v>
      </c>
      <c r="C73" s="14"/>
      <c r="D73" s="14"/>
      <c r="E73" s="14"/>
      <c r="F73" s="14"/>
      <c r="G73" s="14"/>
      <c r="H73" s="14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</row>
    <row r="74" spans="1:41" x14ac:dyDescent="0.25">
      <c r="A74" s="35"/>
      <c r="B74" s="36" t="s">
        <v>7</v>
      </c>
      <c r="C74" s="14">
        <v>100000</v>
      </c>
      <c r="D74" s="14">
        <v>100000</v>
      </c>
      <c r="E74" s="16">
        <f>D74/C74</f>
        <v>1</v>
      </c>
      <c r="F74" s="14">
        <v>854442.85</v>
      </c>
      <c r="G74" s="14">
        <v>95000</v>
      </c>
      <c r="H74" s="16">
        <f>G74/F74</f>
        <v>0.11118356248168032</v>
      </c>
      <c r="I74" s="14">
        <v>569232</v>
      </c>
      <c r="J74" s="14">
        <v>569231.29</v>
      </c>
      <c r="K74" s="16">
        <f>J74/I74</f>
        <v>0.99999875270539962</v>
      </c>
      <c r="L74" s="14">
        <f>1134911-L79</f>
        <v>959440.1</v>
      </c>
      <c r="M74" s="14">
        <f>1134911-M79</f>
        <v>1111406.04</v>
      </c>
      <c r="N74" s="16">
        <f>M74/L74</f>
        <v>1.1583902319696666</v>
      </c>
      <c r="O74" s="14">
        <f>154846-O79</f>
        <v>127103</v>
      </c>
      <c r="P74" s="14">
        <v>154846</v>
      </c>
      <c r="Q74" s="16">
        <f>P74/O74</f>
        <v>1.2182717953156101</v>
      </c>
      <c r="R74" s="14">
        <f>129803-R79</f>
        <v>117167.84</v>
      </c>
      <c r="S74" s="14">
        <f>129803-S79</f>
        <v>117167.84</v>
      </c>
      <c r="T74" s="16">
        <f>S74/R74</f>
        <v>1</v>
      </c>
      <c r="U74" s="14">
        <v>100000</v>
      </c>
      <c r="V74" s="14">
        <v>100000</v>
      </c>
      <c r="W74" s="16">
        <f>V74/U74</f>
        <v>1</v>
      </c>
      <c r="X74" s="14">
        <v>100000</v>
      </c>
      <c r="Y74" s="14">
        <v>100000</v>
      </c>
      <c r="Z74" s="16">
        <f>Y74/X74</f>
        <v>1</v>
      </c>
      <c r="AA74" s="14">
        <f>900102.91-AA79</f>
        <v>759992.91</v>
      </c>
      <c r="AB74" s="14">
        <f>900102.91-AB79</f>
        <v>759992.91</v>
      </c>
      <c r="AC74" s="16">
        <f>AB74/AA74</f>
        <v>1</v>
      </c>
      <c r="AD74" s="14">
        <f>109669.43-AD79</f>
        <v>83669.429999999993</v>
      </c>
      <c r="AE74" s="14">
        <f>109669.43-AE79</f>
        <v>83669.429999999993</v>
      </c>
      <c r="AF74" s="16">
        <f>AE74/AD74</f>
        <v>1</v>
      </c>
      <c r="AG74" s="14">
        <f>840749.13-AG79</f>
        <v>735184.59</v>
      </c>
      <c r="AH74" s="14">
        <f>828697.13-AH79</f>
        <v>730184.59</v>
      </c>
      <c r="AI74" s="16">
        <f>AH74/AG74</f>
        <v>0.99319898693741659</v>
      </c>
      <c r="AJ74" s="14">
        <f>358041.45-AJ79</f>
        <v>251922.1</v>
      </c>
      <c r="AK74" s="14">
        <f>358041.45-AK79</f>
        <v>251922.1</v>
      </c>
      <c r="AL74" s="16">
        <f>AK74/AJ74</f>
        <v>1</v>
      </c>
      <c r="AM74" s="14">
        <v>333116.18</v>
      </c>
      <c r="AN74" s="14">
        <v>333116.18</v>
      </c>
      <c r="AO74" s="16">
        <f>AN74/AM74</f>
        <v>1</v>
      </c>
    </row>
    <row r="75" spans="1:41" x14ac:dyDescent="0.25">
      <c r="A75" s="35"/>
      <c r="B75" s="36" t="s">
        <v>8</v>
      </c>
      <c r="C75" s="14">
        <v>3094000</v>
      </c>
      <c r="D75" s="14">
        <v>2395071.42</v>
      </c>
      <c r="E75" s="16">
        <f>D75/C75</f>
        <v>0.77410194570135749</v>
      </c>
      <c r="F75" s="14">
        <f>2194557.15-F80</f>
        <v>1956557.15</v>
      </c>
      <c r="G75" s="14">
        <f>2194557.15-G80</f>
        <v>1965132.15</v>
      </c>
      <c r="H75" s="16">
        <f>G75/F75</f>
        <v>1.0043826984558053</v>
      </c>
      <c r="I75" s="14">
        <f>2677768-I80</f>
        <v>2342768</v>
      </c>
      <c r="J75" s="14">
        <f>2064692.88-J80</f>
        <v>1746505.98</v>
      </c>
      <c r="K75" s="16">
        <f>J75/I75</f>
        <v>0.74548823443038315</v>
      </c>
      <c r="L75" s="14">
        <f>1698089-L80</f>
        <v>1591709.9</v>
      </c>
      <c r="M75" s="14">
        <f>1668259-M80</f>
        <v>1561879.9</v>
      </c>
      <c r="N75" s="16">
        <f>M75/L75</f>
        <v>0.98125914778817425</v>
      </c>
      <c r="O75" s="14">
        <f>2122154-O80</f>
        <v>1730172</v>
      </c>
      <c r="P75" s="14">
        <f>2122154-P80</f>
        <v>1805070.76</v>
      </c>
      <c r="Q75" s="16">
        <f>P75/O75</f>
        <v>1.043289776970151</v>
      </c>
      <c r="R75" s="14">
        <f>2206197-R80</f>
        <v>1780129.16</v>
      </c>
      <c r="S75" s="14">
        <f>2201882.98-S80</f>
        <v>1777315.27</v>
      </c>
      <c r="T75" s="16">
        <f>S75/R75</f>
        <v>0.99841927762140592</v>
      </c>
      <c r="U75" s="14">
        <f>1507598-U80</f>
        <v>1169598</v>
      </c>
      <c r="V75" s="14">
        <f>1507597.43-V80</f>
        <v>1250623.42</v>
      </c>
      <c r="W75" s="16">
        <f>V75/U75</f>
        <v>1.0692762983520834</v>
      </c>
      <c r="X75" s="14">
        <f>1206547-X80</f>
        <v>939347</v>
      </c>
      <c r="Y75" s="14">
        <f>1206546.82-Y80</f>
        <v>939346.82000000007</v>
      </c>
      <c r="Z75" s="16">
        <f>Y75/X75</f>
        <v>0.99999980837752189</v>
      </c>
      <c r="AA75" s="14">
        <f>9312897.09-AA80</f>
        <v>8763007.0899999999</v>
      </c>
      <c r="AB75" s="14">
        <f>9312897.09-AB80</f>
        <v>8763007.0899999999</v>
      </c>
      <c r="AC75" s="16">
        <f>AB75/AA75</f>
        <v>1</v>
      </c>
      <c r="AD75" s="14">
        <f>2573330.57-AD80</f>
        <v>1893742.5699999998</v>
      </c>
      <c r="AE75" s="14">
        <f>2573330.57-AE80</f>
        <v>1893742.5699999998</v>
      </c>
      <c r="AF75" s="16">
        <f>AE75/AD75</f>
        <v>1</v>
      </c>
      <c r="AG75" s="14">
        <f>8233750.87-AG80-AG161-AG164-AG168</f>
        <v>1209502.4100000001</v>
      </c>
      <c r="AH75" s="14">
        <f>4976003.7-AH80-AH161-AH164-AH168</f>
        <v>1209502.4100000001</v>
      </c>
      <c r="AI75" s="16">
        <f>AH75/AG75</f>
        <v>1</v>
      </c>
      <c r="AJ75" s="14">
        <v>1688077.9000000004</v>
      </c>
      <c r="AK75" s="14">
        <v>1688077.9000000004</v>
      </c>
      <c r="AL75" s="16">
        <f>AK75/AJ75</f>
        <v>1</v>
      </c>
      <c r="AM75" s="14">
        <v>3785883.82</v>
      </c>
      <c r="AN75" s="14">
        <v>3785883.82</v>
      </c>
      <c r="AO75" s="16">
        <f>AN75/AM75</f>
        <v>1</v>
      </c>
    </row>
    <row r="76" spans="1:41" x14ac:dyDescent="0.25">
      <c r="A76" s="35"/>
      <c r="B76" s="36" t="s">
        <v>42</v>
      </c>
      <c r="C76" s="14"/>
      <c r="D76" s="14"/>
      <c r="E76" s="16"/>
      <c r="F76" s="14"/>
      <c r="G76" s="14"/>
      <c r="H76" s="16"/>
      <c r="I76" s="14"/>
      <c r="J76" s="14"/>
      <c r="K76" s="16"/>
      <c r="L76" s="14"/>
      <c r="M76" s="14"/>
      <c r="N76" s="16"/>
      <c r="O76" s="14"/>
      <c r="P76" s="14"/>
      <c r="Q76" s="16"/>
      <c r="R76" s="14"/>
      <c r="S76" s="14"/>
      <c r="T76" s="16"/>
      <c r="U76" s="14"/>
      <c r="V76" s="14"/>
      <c r="W76" s="16"/>
      <c r="X76" s="14"/>
      <c r="Y76" s="14"/>
      <c r="Z76" s="16"/>
      <c r="AA76" s="14">
        <v>11800000</v>
      </c>
      <c r="AB76" s="14">
        <v>11774314.82</v>
      </c>
      <c r="AC76" s="16">
        <f>AB76/AA76</f>
        <v>0.9978232898305085</v>
      </c>
      <c r="AD76" s="14">
        <v>10051000</v>
      </c>
      <c r="AE76" s="14">
        <v>9801128.1699999999</v>
      </c>
      <c r="AF76" s="16">
        <f>AE76/AD76</f>
        <v>0.97513960501442642</v>
      </c>
      <c r="AG76" s="14"/>
      <c r="AH76" s="14"/>
      <c r="AI76" s="16" t="s">
        <v>55</v>
      </c>
      <c r="AJ76" s="14"/>
      <c r="AK76" s="14"/>
      <c r="AL76" s="16" t="s">
        <v>55</v>
      </c>
      <c r="AM76" s="14"/>
      <c r="AN76" s="14">
        <f t="shared" ref="AN76" si="76">AM76</f>
        <v>0</v>
      </c>
      <c r="AO76" s="16" t="s">
        <v>55</v>
      </c>
    </row>
    <row r="77" spans="1:41" x14ac:dyDescent="0.25">
      <c r="A77" s="35"/>
      <c r="B77" s="54" t="s">
        <v>46</v>
      </c>
      <c r="C77" s="17">
        <f>SUM(C73:C76)</f>
        <v>3194000</v>
      </c>
      <c r="D77" s="17">
        <f>SUM(D73:D76)</f>
        <v>2495071.42</v>
      </c>
      <c r="E77" s="16">
        <f>D77/C77</f>
        <v>0.78117452097683149</v>
      </c>
      <c r="F77" s="17">
        <f>SUM(F73:F76)</f>
        <v>2811000</v>
      </c>
      <c r="G77" s="17">
        <f>SUM(G73:G76)</f>
        <v>2060132.15</v>
      </c>
      <c r="H77" s="16">
        <f>G77/F77</f>
        <v>0.73288230167200286</v>
      </c>
      <c r="I77" s="17">
        <f>SUM(I73:I76)</f>
        <v>2912000</v>
      </c>
      <c r="J77" s="17">
        <f>SUM(J73:J76)</f>
        <v>2315737.27</v>
      </c>
      <c r="K77" s="16">
        <f>J77/I77</f>
        <v>0.79523944711538463</v>
      </c>
      <c r="L77" s="17">
        <f>SUM(L73:L76)</f>
        <v>2551150</v>
      </c>
      <c r="M77" s="17">
        <f>SUM(M73:M76)</f>
        <v>2673285.94</v>
      </c>
      <c r="N77" s="16">
        <f>M77/L77</f>
        <v>1.0478748564372931</v>
      </c>
      <c r="O77" s="17">
        <f>SUM(O73:O76)</f>
        <v>1857275</v>
      </c>
      <c r="P77" s="17">
        <f>SUM(P73:P76)</f>
        <v>1959916.76</v>
      </c>
      <c r="Q77" s="16">
        <f>P77/O77</f>
        <v>1.0552647077034902</v>
      </c>
      <c r="R77" s="17">
        <f>SUM(R73:R76)</f>
        <v>1897297</v>
      </c>
      <c r="S77" s="17">
        <f>SUM(S73:S76)</f>
        <v>1894483.11</v>
      </c>
      <c r="T77" s="16">
        <f>S77/R77</f>
        <v>0.99851689535165034</v>
      </c>
      <c r="U77" s="17">
        <f>SUM(U73:U76)</f>
        <v>1269598</v>
      </c>
      <c r="V77" s="17">
        <f>SUM(V73:V76)</f>
        <v>1350623.42</v>
      </c>
      <c r="W77" s="16">
        <f>V77/U77</f>
        <v>1.0638197445175559</v>
      </c>
      <c r="X77" s="17">
        <f>SUM(X73:X76)</f>
        <v>1039347</v>
      </c>
      <c r="Y77" s="17">
        <f>SUM(Y73:Y76)</f>
        <v>1039346.8200000001</v>
      </c>
      <c r="Z77" s="167">
        <f>Y77/X77</f>
        <v>0.99999982681433641</v>
      </c>
      <c r="AA77" s="17">
        <f>SUM(AA73:AA76)</f>
        <v>21323000</v>
      </c>
      <c r="AB77" s="17">
        <f>SUM(AB73:AB76)</f>
        <v>21297314.82</v>
      </c>
      <c r="AC77" s="167">
        <f>AB77/AA77</f>
        <v>0.99879542372086483</v>
      </c>
      <c r="AD77" s="17">
        <f>SUM(AD73:AD76)</f>
        <v>12028412</v>
      </c>
      <c r="AE77" s="17">
        <f>SUM(AE73:AE76)</f>
        <v>11778540.17</v>
      </c>
      <c r="AF77" s="167">
        <f>AE77/AD77</f>
        <v>0.97922653214738575</v>
      </c>
      <c r="AG77" s="17">
        <f>SUM(AG73:AG76)</f>
        <v>1944687</v>
      </c>
      <c r="AH77" s="17">
        <f>SUM(AH73:AH76)</f>
        <v>1939687</v>
      </c>
      <c r="AI77" s="167">
        <f>AH77/AG77</f>
        <v>0.99742889215590991</v>
      </c>
      <c r="AJ77" s="17">
        <f>SUM(AJ73:AJ76)</f>
        <v>1940000.0000000005</v>
      </c>
      <c r="AK77" s="17">
        <f>SUM(AK73:AK76)</f>
        <v>1940000.0000000005</v>
      </c>
      <c r="AL77" s="167">
        <f>AK77/AJ77</f>
        <v>1</v>
      </c>
      <c r="AM77" s="17">
        <f>SUM(AM73:AM76)</f>
        <v>4119000</v>
      </c>
      <c r="AN77" s="17">
        <f>SUM(AN73:AN76)</f>
        <v>4119000</v>
      </c>
      <c r="AO77" s="167">
        <f>AN77/AM77</f>
        <v>1</v>
      </c>
    </row>
    <row r="78" spans="1:41" ht="22.5" customHeight="1" x14ac:dyDescent="0.25">
      <c r="A78" s="35"/>
      <c r="B78" s="53" t="s">
        <v>45</v>
      </c>
      <c r="C78" s="14"/>
      <c r="D78" s="14"/>
      <c r="E78" s="14"/>
      <c r="F78" s="14"/>
      <c r="G78" s="14"/>
      <c r="H78" s="14"/>
      <c r="I78" s="13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</row>
    <row r="79" spans="1:41" x14ac:dyDescent="0.25">
      <c r="A79" s="35"/>
      <c r="B79" s="36" t="s">
        <v>7</v>
      </c>
      <c r="C79" s="14"/>
      <c r="D79" s="14"/>
      <c r="E79" s="16" t="e">
        <f>D79/C79</f>
        <v>#DIV/0!</v>
      </c>
      <c r="F79" s="14"/>
      <c r="G79" s="14"/>
      <c r="H79" s="16" t="e">
        <f>G79/F79</f>
        <v>#DIV/0!</v>
      </c>
      <c r="I79" s="14"/>
      <c r="J79" s="14"/>
      <c r="K79" s="16" t="e">
        <f>J79/I79</f>
        <v>#DIV/0!</v>
      </c>
      <c r="L79" s="14">
        <v>175470.9</v>
      </c>
      <c r="M79" s="14">
        <v>23504.959999999999</v>
      </c>
      <c r="N79" s="16">
        <f>M79/L79</f>
        <v>0.13395360712232057</v>
      </c>
      <c r="O79" s="14">
        <v>27743</v>
      </c>
      <c r="P79" s="14"/>
      <c r="Q79" s="16">
        <f>P79/O79</f>
        <v>0</v>
      </c>
      <c r="R79" s="14">
        <v>12635.16</v>
      </c>
      <c r="S79" s="14">
        <v>12635.16</v>
      </c>
      <c r="T79" s="16">
        <f>S79/R79</f>
        <v>1</v>
      </c>
      <c r="U79" s="14"/>
      <c r="V79" s="14"/>
      <c r="W79" s="16" t="e">
        <f>V79/U79</f>
        <v>#DIV/0!</v>
      </c>
      <c r="X79" s="14"/>
      <c r="Y79" s="14"/>
      <c r="Z79" s="16" t="e">
        <f t="shared" ref="Z79:Z85" si="77">Y79/X79</f>
        <v>#DIV/0!</v>
      </c>
      <c r="AA79" s="14">
        <v>140110</v>
      </c>
      <c r="AB79" s="14">
        <v>140110</v>
      </c>
      <c r="AC79" s="16">
        <f t="shared" ref="AC79:AC85" si="78">AB79/AA79</f>
        <v>1</v>
      </c>
      <c r="AD79" s="14">
        <v>26000</v>
      </c>
      <c r="AE79" s="14">
        <v>26000</v>
      </c>
      <c r="AF79" s="16">
        <f t="shared" ref="AF79:AF85" si="79">AE79/AD79</f>
        <v>1</v>
      </c>
      <c r="AG79" s="14">
        <v>105564.54</v>
      </c>
      <c r="AH79" s="14">
        <v>98512.54</v>
      </c>
      <c r="AI79" s="16">
        <f t="shared" ref="AI79:AI85" si="80">AH79/AG79</f>
        <v>0.93319726491490418</v>
      </c>
      <c r="AJ79" s="14">
        <v>106119.35</v>
      </c>
      <c r="AK79" s="14">
        <v>106119.35</v>
      </c>
      <c r="AL79" s="16">
        <f t="shared" ref="AL79:AL85" si="81">AK79/AJ79</f>
        <v>1</v>
      </c>
      <c r="AM79" s="14">
        <v>245015.48</v>
      </c>
      <c r="AN79" s="14">
        <v>245015.48</v>
      </c>
      <c r="AO79" s="16">
        <f t="shared" ref="AO79:AO85" si="82">AN79/AM79</f>
        <v>1</v>
      </c>
    </row>
    <row r="80" spans="1:41" x14ac:dyDescent="0.25">
      <c r="A80" s="35"/>
      <c r="B80" s="36" t="s">
        <v>8</v>
      </c>
      <c r="C80" s="14"/>
      <c r="D80" s="14"/>
      <c r="E80" s="16" t="e">
        <f>D80/C80</f>
        <v>#DIV/0!</v>
      </c>
      <c r="F80" s="14">
        <v>238000</v>
      </c>
      <c r="G80" s="14">
        <v>229425</v>
      </c>
      <c r="H80" s="16">
        <f>G80/F80</f>
        <v>0.96397058823529413</v>
      </c>
      <c r="I80" s="14">
        <v>335000</v>
      </c>
      <c r="J80" s="14">
        <v>318186.90000000002</v>
      </c>
      <c r="K80" s="16">
        <f>J80/I80</f>
        <v>0.94981164179104483</v>
      </c>
      <c r="L80" s="14">
        <v>106379.1</v>
      </c>
      <c r="M80" s="14">
        <v>106379.1</v>
      </c>
      <c r="N80" s="16">
        <f>M80/L80</f>
        <v>1</v>
      </c>
      <c r="O80" s="14">
        <v>391982</v>
      </c>
      <c r="P80" s="14">
        <v>317083.24</v>
      </c>
      <c r="Q80" s="16">
        <f>P80/O80</f>
        <v>0.80892296074819758</v>
      </c>
      <c r="R80" s="14">
        <v>426067.84</v>
      </c>
      <c r="S80" s="14">
        <v>424567.71</v>
      </c>
      <c r="T80" s="16">
        <f>S80/R80</f>
        <v>0.99647912876972833</v>
      </c>
      <c r="U80" s="14">
        <v>338000</v>
      </c>
      <c r="V80" s="14">
        <v>256974.01</v>
      </c>
      <c r="W80" s="16">
        <f>V80/U80</f>
        <v>0.76027813609467454</v>
      </c>
      <c r="X80" s="14">
        <v>267200</v>
      </c>
      <c r="Y80" s="14">
        <v>267200</v>
      </c>
      <c r="Z80" s="16">
        <f t="shared" si="77"/>
        <v>1</v>
      </c>
      <c r="AA80" s="14">
        <v>549890</v>
      </c>
      <c r="AB80" s="14">
        <v>549890</v>
      </c>
      <c r="AC80" s="16">
        <f t="shared" si="78"/>
        <v>1</v>
      </c>
      <c r="AD80" s="14">
        <v>679588</v>
      </c>
      <c r="AE80" s="26">
        <v>679588</v>
      </c>
      <c r="AF80" s="16">
        <f t="shared" si="79"/>
        <v>1</v>
      </c>
      <c r="AG80" s="14">
        <v>726748.46</v>
      </c>
      <c r="AH80" s="14">
        <v>726748.46</v>
      </c>
      <c r="AI80" s="16">
        <f t="shared" si="80"/>
        <v>1</v>
      </c>
      <c r="AJ80" s="14">
        <v>778880.65</v>
      </c>
      <c r="AK80" s="14">
        <v>778880.65</v>
      </c>
      <c r="AL80" s="16">
        <f t="shared" si="81"/>
        <v>1</v>
      </c>
      <c r="AM80" s="14">
        <v>1510984.52</v>
      </c>
      <c r="AN80" s="14">
        <v>1510984.52</v>
      </c>
      <c r="AO80" s="16">
        <f t="shared" si="82"/>
        <v>1</v>
      </c>
    </row>
    <row r="81" spans="1:41" ht="18.75" customHeight="1" x14ac:dyDescent="0.25">
      <c r="A81" s="35"/>
      <c r="B81" s="54" t="s">
        <v>46</v>
      </c>
      <c r="C81" s="17">
        <f>SUM(C79:C80)</f>
        <v>0</v>
      </c>
      <c r="D81" s="17">
        <f>SUM(D79:D80)</f>
        <v>0</v>
      </c>
      <c r="E81" s="16" t="e">
        <f>D81/C81</f>
        <v>#DIV/0!</v>
      </c>
      <c r="F81" s="17">
        <f>SUM(F79:F80)</f>
        <v>238000</v>
      </c>
      <c r="G81" s="17">
        <f>SUM(G79:G80)</f>
        <v>229425</v>
      </c>
      <c r="H81" s="16">
        <f>G81/F81</f>
        <v>0.96397058823529413</v>
      </c>
      <c r="I81" s="17">
        <f>SUM(I79:I80)</f>
        <v>335000</v>
      </c>
      <c r="J81" s="17">
        <f>SUM(J79:J80)</f>
        <v>318186.90000000002</v>
      </c>
      <c r="K81" s="16">
        <f>J81/I81</f>
        <v>0.94981164179104483</v>
      </c>
      <c r="L81" s="17">
        <f>SUM(L79:L80)</f>
        <v>281850</v>
      </c>
      <c r="M81" s="17">
        <f>SUM(M79:M80)</f>
        <v>129884.06</v>
      </c>
      <c r="N81" s="16">
        <f>M81/L81</f>
        <v>0.46082689373780378</v>
      </c>
      <c r="O81" s="17">
        <f>SUM(O79:O80)</f>
        <v>419725</v>
      </c>
      <c r="P81" s="17">
        <f>SUM(P79:P80)</f>
        <v>317083.24</v>
      </c>
      <c r="Q81" s="16">
        <f>P81/O81</f>
        <v>0.75545473822145448</v>
      </c>
      <c r="R81" s="17">
        <f>SUM(R79:R80)</f>
        <v>438703</v>
      </c>
      <c r="S81" s="17">
        <f>SUM(S79:S80)</f>
        <v>437202.87</v>
      </c>
      <c r="T81" s="16">
        <f>S81/R81</f>
        <v>0.99658053398312751</v>
      </c>
      <c r="U81" s="17">
        <f>SUM(U79:U80)</f>
        <v>338000</v>
      </c>
      <c r="V81" s="17">
        <f>SUM(V79:V80)</f>
        <v>256974.01</v>
      </c>
      <c r="W81" s="16">
        <f>V81/U81</f>
        <v>0.76027813609467454</v>
      </c>
      <c r="X81" s="17">
        <f>SUM(X79:X80)</f>
        <v>267200</v>
      </c>
      <c r="Y81" s="17">
        <f>SUM(Y79:Y80)</f>
        <v>267200</v>
      </c>
      <c r="Z81" s="167">
        <f t="shared" si="77"/>
        <v>1</v>
      </c>
      <c r="AA81" s="17">
        <f>SUM(AA79:AA80)</f>
        <v>690000</v>
      </c>
      <c r="AB81" s="17">
        <f>SUM(AB79:AB80)</f>
        <v>690000</v>
      </c>
      <c r="AC81" s="167">
        <f t="shared" si="78"/>
        <v>1</v>
      </c>
      <c r="AD81" s="17">
        <f>SUM(AD79:AD80)</f>
        <v>705588</v>
      </c>
      <c r="AE81" s="17">
        <f>SUM(AE79:AE80)</f>
        <v>705588</v>
      </c>
      <c r="AF81" s="167">
        <f t="shared" si="79"/>
        <v>1</v>
      </c>
      <c r="AG81" s="17">
        <f>SUM(AG79:AG80)</f>
        <v>832313</v>
      </c>
      <c r="AH81" s="17">
        <f>SUM(AH79:AH80)</f>
        <v>825261</v>
      </c>
      <c r="AI81" s="167">
        <f t="shared" si="80"/>
        <v>0.9915272259354353</v>
      </c>
      <c r="AJ81" s="17">
        <f>SUM(AJ79:AJ80)</f>
        <v>885000</v>
      </c>
      <c r="AK81" s="17">
        <f>SUM(AK79:AK80)</f>
        <v>885000</v>
      </c>
      <c r="AL81" s="167">
        <f t="shared" si="81"/>
        <v>1</v>
      </c>
      <c r="AM81" s="17">
        <f>SUM(AM79:AM80)</f>
        <v>1756000</v>
      </c>
      <c r="AN81" s="17">
        <f>SUM(AN79:AN80)</f>
        <v>1756000</v>
      </c>
      <c r="AO81" s="167">
        <f t="shared" si="82"/>
        <v>1</v>
      </c>
    </row>
    <row r="82" spans="1:41" s="4" customFormat="1" ht="19.5" customHeight="1" x14ac:dyDescent="0.25">
      <c r="A82" s="41"/>
      <c r="B82" s="31" t="s">
        <v>112</v>
      </c>
      <c r="C82" s="20"/>
      <c r="D82" s="20"/>
      <c r="E82" s="21"/>
      <c r="F82" s="20"/>
      <c r="G82" s="20"/>
      <c r="H82" s="21"/>
      <c r="I82" s="20"/>
      <c r="J82" s="20"/>
      <c r="K82" s="21"/>
      <c r="L82" s="20"/>
      <c r="M82" s="20"/>
      <c r="N82" s="21"/>
      <c r="O82" s="20"/>
      <c r="P82" s="20"/>
      <c r="Q82" s="21"/>
      <c r="R82" s="20"/>
      <c r="S82" s="20"/>
      <c r="T82" s="21"/>
      <c r="U82" s="20"/>
      <c r="V82" s="20"/>
      <c r="W82" s="16"/>
      <c r="X82" s="12">
        <f>X79+X74</f>
        <v>100000</v>
      </c>
      <c r="Y82" s="12">
        <f>Y79+Y74</f>
        <v>100000</v>
      </c>
      <c r="Z82" s="16">
        <f t="shared" si="77"/>
        <v>1</v>
      </c>
      <c r="AA82" s="12">
        <f>AA79+AA74</f>
        <v>900102.91</v>
      </c>
      <c r="AB82" s="12">
        <f>AB79+AB74</f>
        <v>900102.91</v>
      </c>
      <c r="AC82" s="16">
        <f t="shared" si="78"/>
        <v>1</v>
      </c>
      <c r="AD82" s="12">
        <f>AD79+AD74</f>
        <v>109669.43</v>
      </c>
      <c r="AE82" s="12">
        <f>AE79+AE74</f>
        <v>109669.43</v>
      </c>
      <c r="AF82" s="16">
        <f t="shared" si="79"/>
        <v>1</v>
      </c>
      <c r="AG82" s="12">
        <f>AG79+AG74</f>
        <v>840749.13</v>
      </c>
      <c r="AH82" s="12">
        <f>AH79+AH74</f>
        <v>828697.13</v>
      </c>
      <c r="AI82" s="16">
        <f t="shared" si="80"/>
        <v>0.98566516506535073</v>
      </c>
      <c r="AJ82" s="12">
        <f>AJ79+AJ74</f>
        <v>358041.45</v>
      </c>
      <c r="AK82" s="12">
        <f>AK79+AK74</f>
        <v>358041.45</v>
      </c>
      <c r="AL82" s="16">
        <f t="shared" si="81"/>
        <v>1</v>
      </c>
      <c r="AM82" s="12">
        <f>AM79+AM74</f>
        <v>578131.66</v>
      </c>
      <c r="AN82" s="12">
        <f>AN79+AN74</f>
        <v>578131.66</v>
      </c>
      <c r="AO82" s="16">
        <f t="shared" si="82"/>
        <v>1</v>
      </c>
    </row>
    <row r="83" spans="1:41" s="4" customFormat="1" ht="19.5" customHeight="1" x14ac:dyDescent="0.25">
      <c r="A83" s="41"/>
      <c r="B83" s="31" t="s">
        <v>113</v>
      </c>
      <c r="C83" s="20"/>
      <c r="D83" s="20"/>
      <c r="E83" s="21"/>
      <c r="F83" s="20"/>
      <c r="G83" s="20"/>
      <c r="H83" s="21"/>
      <c r="I83" s="20"/>
      <c r="J83" s="20"/>
      <c r="K83" s="21"/>
      <c r="L83" s="20"/>
      <c r="M83" s="20"/>
      <c r="N83" s="21"/>
      <c r="O83" s="20"/>
      <c r="P83" s="20"/>
      <c r="Q83" s="21"/>
      <c r="R83" s="20"/>
      <c r="S83" s="20"/>
      <c r="T83" s="21"/>
      <c r="U83" s="20"/>
      <c r="V83" s="20"/>
      <c r="W83" s="16"/>
      <c r="X83" s="12">
        <f>X75+X80</f>
        <v>1206547</v>
      </c>
      <c r="Y83" s="12">
        <f>Y75+Y80</f>
        <v>1206546.82</v>
      </c>
      <c r="Z83" s="16">
        <f t="shared" si="77"/>
        <v>0.99999985081393439</v>
      </c>
      <c r="AA83" s="12">
        <f>AA75+AA80</f>
        <v>9312897.0899999999</v>
      </c>
      <c r="AB83" s="12">
        <f>AB75+AB80</f>
        <v>9312897.0899999999</v>
      </c>
      <c r="AC83" s="16">
        <f t="shared" si="78"/>
        <v>1</v>
      </c>
      <c r="AD83" s="12">
        <f>AD75+AD80</f>
        <v>2573330.5699999998</v>
      </c>
      <c r="AE83" s="12">
        <f>AE75+AE80</f>
        <v>2573330.5699999998</v>
      </c>
      <c r="AF83" s="16">
        <f t="shared" si="79"/>
        <v>1</v>
      </c>
      <c r="AG83" s="12">
        <f>AG75+AG80</f>
        <v>1936250.87</v>
      </c>
      <c r="AH83" s="12">
        <f>AH75+AH80</f>
        <v>1936250.87</v>
      </c>
      <c r="AI83" s="16">
        <f t="shared" si="80"/>
        <v>1</v>
      </c>
      <c r="AJ83" s="12">
        <f>AJ75+AJ80</f>
        <v>2466958.5500000003</v>
      </c>
      <c r="AK83" s="12">
        <f>AK75+AK80</f>
        <v>2466958.5500000003</v>
      </c>
      <c r="AL83" s="16">
        <f t="shared" si="81"/>
        <v>1</v>
      </c>
      <c r="AM83" s="12">
        <f>AM75+AM80</f>
        <v>5296868.34</v>
      </c>
      <c r="AN83" s="12">
        <f>AN75+AN80</f>
        <v>5296868.34</v>
      </c>
      <c r="AO83" s="16">
        <f t="shared" si="82"/>
        <v>1</v>
      </c>
    </row>
    <row r="84" spans="1:41" s="4" customFormat="1" ht="19.5" customHeight="1" x14ac:dyDescent="0.25">
      <c r="A84" s="41"/>
      <c r="B84" s="31" t="s">
        <v>114</v>
      </c>
      <c r="C84" s="20"/>
      <c r="D84" s="20"/>
      <c r="E84" s="21"/>
      <c r="F84" s="20"/>
      <c r="G84" s="20"/>
      <c r="H84" s="21"/>
      <c r="I84" s="20"/>
      <c r="J84" s="20"/>
      <c r="K84" s="21"/>
      <c r="L84" s="20"/>
      <c r="M84" s="20"/>
      <c r="N84" s="21"/>
      <c r="O84" s="20"/>
      <c r="P84" s="20"/>
      <c r="Q84" s="21"/>
      <c r="R84" s="20"/>
      <c r="S84" s="20"/>
      <c r="T84" s="21"/>
      <c r="U84" s="20"/>
      <c r="V84" s="20"/>
      <c r="W84" s="16"/>
      <c r="X84" s="12">
        <f>X76</f>
        <v>0</v>
      </c>
      <c r="Y84" s="12">
        <f>Y76</f>
        <v>0</v>
      </c>
      <c r="Z84" s="16" t="e">
        <f t="shared" si="77"/>
        <v>#DIV/0!</v>
      </c>
      <c r="AA84" s="12">
        <f>AA76</f>
        <v>11800000</v>
      </c>
      <c r="AB84" s="12">
        <f>AB76</f>
        <v>11774314.82</v>
      </c>
      <c r="AC84" s="16">
        <f t="shared" si="78"/>
        <v>0.9978232898305085</v>
      </c>
      <c r="AD84" s="12">
        <f>AD76</f>
        <v>10051000</v>
      </c>
      <c r="AE84" s="12">
        <f>AE76</f>
        <v>9801128.1699999999</v>
      </c>
      <c r="AF84" s="16">
        <f t="shared" si="79"/>
        <v>0.97513960501442642</v>
      </c>
      <c r="AG84" s="12">
        <f>AG76</f>
        <v>0</v>
      </c>
      <c r="AH84" s="12">
        <f>AH76</f>
        <v>0</v>
      </c>
      <c r="AI84" s="16" t="e">
        <f t="shared" si="80"/>
        <v>#DIV/0!</v>
      </c>
      <c r="AJ84" s="12">
        <f>AJ76</f>
        <v>0</v>
      </c>
      <c r="AK84" s="12">
        <f>AK76</f>
        <v>0</v>
      </c>
      <c r="AL84" s="16" t="e">
        <f t="shared" si="81"/>
        <v>#DIV/0!</v>
      </c>
      <c r="AM84" s="12">
        <f>AM76</f>
        <v>0</v>
      </c>
      <c r="AN84" s="12">
        <f>AN76</f>
        <v>0</v>
      </c>
      <c r="AO84" s="16" t="e">
        <f t="shared" si="82"/>
        <v>#DIV/0!</v>
      </c>
    </row>
    <row r="85" spans="1:41" s="5" customFormat="1" ht="23.25" customHeight="1" x14ac:dyDescent="0.25">
      <c r="A85" s="50"/>
      <c r="B85" s="40" t="s">
        <v>33</v>
      </c>
      <c r="C85" s="47">
        <f>C77+C81</f>
        <v>3194000</v>
      </c>
      <c r="D85" s="47">
        <f>D77+D81</f>
        <v>2495071.42</v>
      </c>
      <c r="E85" s="51">
        <f>D85/C85</f>
        <v>0.78117452097683149</v>
      </c>
      <c r="F85" s="47">
        <f>F77+F81</f>
        <v>3049000</v>
      </c>
      <c r="G85" s="47">
        <f>G77+G81</f>
        <v>2289557.15</v>
      </c>
      <c r="H85" s="51">
        <f>G85/F85</f>
        <v>0.75092067891111836</v>
      </c>
      <c r="I85" s="47">
        <f>I77+I81</f>
        <v>3247000</v>
      </c>
      <c r="J85" s="47">
        <f>J77+J81</f>
        <v>2633924.17</v>
      </c>
      <c r="K85" s="51">
        <f>J85/I85</f>
        <v>0.81118699414844464</v>
      </c>
      <c r="L85" s="47">
        <f>L77+L81</f>
        <v>2833000</v>
      </c>
      <c r="M85" s="47">
        <f>M77+M81</f>
        <v>2803170</v>
      </c>
      <c r="N85" s="51">
        <f>M85/L85</f>
        <v>0.98947052594422868</v>
      </c>
      <c r="O85" s="47">
        <f>O77+O81</f>
        <v>2277000</v>
      </c>
      <c r="P85" s="47">
        <f>P77+P81</f>
        <v>2277000</v>
      </c>
      <c r="Q85" s="51">
        <f>P85/O85</f>
        <v>1</v>
      </c>
      <c r="R85" s="47">
        <f>R77+R81</f>
        <v>2336000</v>
      </c>
      <c r="S85" s="47">
        <f>S77+S81</f>
        <v>2331685.98</v>
      </c>
      <c r="T85" s="51">
        <f>S85/R85</f>
        <v>0.99815324486301371</v>
      </c>
      <c r="U85" s="47">
        <f>U77+U81</f>
        <v>1607598</v>
      </c>
      <c r="V85" s="47">
        <f>V77+V81</f>
        <v>1607597.43</v>
      </c>
      <c r="W85" s="51">
        <f>V85/U85</f>
        <v>0.99999964543374642</v>
      </c>
      <c r="X85" s="47">
        <f>X77+X81</f>
        <v>1306547</v>
      </c>
      <c r="Y85" s="47">
        <f>Y77+Y81</f>
        <v>1306546.82</v>
      </c>
      <c r="Z85" s="168">
        <f t="shared" si="77"/>
        <v>0.99999986223228099</v>
      </c>
      <c r="AA85" s="47">
        <f>AA77+AA81</f>
        <v>22013000</v>
      </c>
      <c r="AB85" s="47">
        <f>AB77+AB81</f>
        <v>21987314.82</v>
      </c>
      <c r="AC85" s="168">
        <f t="shared" si="78"/>
        <v>0.99883318130195797</v>
      </c>
      <c r="AD85" s="47">
        <f>AD77+AD81</f>
        <v>12734000</v>
      </c>
      <c r="AE85" s="47">
        <f>AE77+AE81</f>
        <v>12484128.17</v>
      </c>
      <c r="AF85" s="169">
        <f t="shared" si="79"/>
        <v>0.9803775852049631</v>
      </c>
      <c r="AG85" s="47">
        <f>AG77+AG81</f>
        <v>2777000</v>
      </c>
      <c r="AH85" s="47">
        <f>AH77+AH81</f>
        <v>2764948</v>
      </c>
      <c r="AI85" s="169">
        <f t="shared" si="80"/>
        <v>0.99566006481814906</v>
      </c>
      <c r="AJ85" s="47">
        <f>AJ77+AJ81</f>
        <v>2825000.0000000005</v>
      </c>
      <c r="AK85" s="47">
        <f>AK77+AK81</f>
        <v>2825000.0000000005</v>
      </c>
      <c r="AL85" s="169">
        <f t="shared" si="81"/>
        <v>1</v>
      </c>
      <c r="AM85" s="47">
        <f>AM77+AM81</f>
        <v>5875000</v>
      </c>
      <c r="AN85" s="47">
        <f>AN77+AN81</f>
        <v>5875000</v>
      </c>
      <c r="AO85" s="169">
        <f t="shared" si="82"/>
        <v>1</v>
      </c>
    </row>
    <row r="86" spans="1:41" s="6" customFormat="1" ht="10.15" customHeight="1" x14ac:dyDescent="0.25">
      <c r="A86" s="37"/>
      <c r="B86" s="38" t="s">
        <v>28</v>
      </c>
      <c r="C86" s="18"/>
      <c r="D86" s="18"/>
      <c r="E86" s="19">
        <f>E85</f>
        <v>0.78117452097683149</v>
      </c>
      <c r="F86" s="18"/>
      <c r="G86" s="18"/>
      <c r="H86" s="19">
        <f>H85</f>
        <v>0.75092067891111836</v>
      </c>
      <c r="I86" s="18"/>
      <c r="J86" s="18"/>
      <c r="K86" s="19">
        <v>0.81120000000000003</v>
      </c>
      <c r="L86" s="18"/>
      <c r="M86" s="18"/>
      <c r="N86" s="19">
        <v>0.98950000000000005</v>
      </c>
      <c r="O86" s="18"/>
      <c r="P86" s="18"/>
      <c r="Q86" s="19"/>
      <c r="R86" s="18"/>
      <c r="S86" s="18"/>
      <c r="T86" s="19"/>
      <c r="U86" s="18"/>
      <c r="V86" s="18"/>
      <c r="W86" s="19"/>
      <c r="X86" s="18"/>
      <c r="Y86" s="18"/>
      <c r="Z86" s="19"/>
      <c r="AA86" s="18"/>
      <c r="AB86" s="18"/>
      <c r="AC86" s="19"/>
      <c r="AD86" s="18"/>
      <c r="AE86" s="18"/>
      <c r="AF86" s="19"/>
      <c r="AG86" s="18"/>
      <c r="AH86" s="18"/>
      <c r="AI86" s="19"/>
      <c r="AJ86" s="18"/>
      <c r="AK86" s="18"/>
      <c r="AL86" s="19"/>
      <c r="AM86" s="18"/>
      <c r="AN86" s="18"/>
      <c r="AO86" s="19"/>
    </row>
    <row r="87" spans="1:41" ht="10.5" customHeight="1" x14ac:dyDescent="0.25">
      <c r="A87" s="35"/>
      <c r="B87" s="33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</row>
    <row r="88" spans="1:41" ht="23.25" customHeight="1" x14ac:dyDescent="0.25">
      <c r="A88" s="35"/>
      <c r="B88" s="31" t="s">
        <v>13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</row>
    <row r="89" spans="1:41" ht="16.5" customHeight="1" x14ac:dyDescent="0.25">
      <c r="A89" s="35"/>
      <c r="B89" s="53" t="s">
        <v>44</v>
      </c>
      <c r="C89" s="14"/>
      <c r="D89" s="14"/>
      <c r="E89" s="14"/>
      <c r="F89" s="14"/>
      <c r="G89" s="14"/>
      <c r="H89" s="14"/>
      <c r="I89" s="13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</row>
    <row r="90" spans="1:41" x14ac:dyDescent="0.25">
      <c r="A90" s="35"/>
      <c r="B90" s="39" t="s">
        <v>7</v>
      </c>
      <c r="C90" s="14">
        <v>100000</v>
      </c>
      <c r="D90" s="14">
        <v>0</v>
      </c>
      <c r="E90" s="16">
        <f>D90/C90</f>
        <v>0</v>
      </c>
      <c r="F90" s="14">
        <v>332053.07999999996</v>
      </c>
      <c r="G90" s="14">
        <v>46917</v>
      </c>
      <c r="H90" s="16">
        <f t="shared" ref="H90:H103" si="83">G90/F90</f>
        <v>0.14129367509556004</v>
      </c>
      <c r="I90" s="14">
        <v>291587</v>
      </c>
      <c r="J90" s="14">
        <v>291587</v>
      </c>
      <c r="K90" s="16">
        <f t="shared" ref="K90:K103" si="84">J90/I90</f>
        <v>1</v>
      </c>
      <c r="L90" s="14">
        <f>480613-L95</f>
        <v>463485.54</v>
      </c>
      <c r="M90" s="14">
        <v>480613</v>
      </c>
      <c r="N90" s="16">
        <f t="shared" ref="N90:N103" si="85">M90/L90</f>
        <v>1.0369536016161367</v>
      </c>
      <c r="O90" s="14">
        <f>201641-O95</f>
        <v>175560</v>
      </c>
      <c r="P90" s="14">
        <v>201639.67</v>
      </c>
      <c r="Q90" s="16">
        <f t="shared" ref="Q90:Q103" si="86">P90/O90</f>
        <v>1.1485513214855321</v>
      </c>
      <c r="R90" s="14">
        <f>129552-R95</f>
        <v>104229.6</v>
      </c>
      <c r="S90" s="14">
        <f>129552-S95</f>
        <v>104229.6</v>
      </c>
      <c r="T90" s="16">
        <f>S90/R90</f>
        <v>1</v>
      </c>
      <c r="U90" s="14">
        <v>98000</v>
      </c>
      <c r="V90" s="14">
        <v>98000</v>
      </c>
      <c r="W90" s="16">
        <f>V90/U90</f>
        <v>1</v>
      </c>
      <c r="X90" s="14">
        <v>98000</v>
      </c>
      <c r="Y90" s="14">
        <v>98000</v>
      </c>
      <c r="Z90" s="16">
        <f>Y90/X90</f>
        <v>1</v>
      </c>
      <c r="AA90" s="14">
        <f>124033.2-AA95</f>
        <v>83000</v>
      </c>
      <c r="AB90" s="14">
        <f>124033.2-AB95</f>
        <v>83000</v>
      </c>
      <c r="AC90" s="16">
        <f>AB90/AA90</f>
        <v>1</v>
      </c>
      <c r="AD90" s="14">
        <f>124370.34-AD95</f>
        <v>99370.34</v>
      </c>
      <c r="AE90" s="14">
        <f>124370.34-AE95</f>
        <v>99370.34</v>
      </c>
      <c r="AF90" s="16">
        <f>AE90/AD90</f>
        <v>1</v>
      </c>
      <c r="AG90" s="14">
        <f>191898-AG95</f>
        <v>119128</v>
      </c>
      <c r="AH90" s="14">
        <f>165501.3-AH95</f>
        <v>112127.99999999999</v>
      </c>
      <c r="AI90" s="16">
        <f>AH90/AG90</f>
        <v>0.94123967497145911</v>
      </c>
      <c r="AJ90" s="14">
        <f>167476.93-AJ95</f>
        <v>123999.4</v>
      </c>
      <c r="AK90" s="14">
        <f>167476.93-AK95</f>
        <v>123999.4</v>
      </c>
      <c r="AL90" s="16">
        <f>AK90/AJ90</f>
        <v>1</v>
      </c>
      <c r="AM90" s="14">
        <v>250002.41</v>
      </c>
      <c r="AN90" s="14">
        <v>250002.41</v>
      </c>
      <c r="AO90" s="16">
        <f>AN90/AM90</f>
        <v>1</v>
      </c>
    </row>
    <row r="91" spans="1:41" x14ac:dyDescent="0.25">
      <c r="A91" s="35"/>
      <c r="B91" s="39" t="s">
        <v>8</v>
      </c>
      <c r="C91" s="14">
        <v>964000</v>
      </c>
      <c r="D91" s="14">
        <v>593629.54</v>
      </c>
      <c r="E91" s="16">
        <f>D91/C91</f>
        <v>0.61579827800829878</v>
      </c>
      <c r="F91" s="14">
        <f>686946.92-F96</f>
        <v>448946.92000000004</v>
      </c>
      <c r="G91" s="14">
        <f>686946.92-G96</f>
        <v>483810.92000000004</v>
      </c>
      <c r="H91" s="16">
        <f t="shared" si="83"/>
        <v>1.0776572874138439</v>
      </c>
      <c r="I91" s="14">
        <f>727413-I96</f>
        <v>450413</v>
      </c>
      <c r="J91" s="14">
        <f>661806-J96</f>
        <v>384806</v>
      </c>
      <c r="K91" s="16">
        <f t="shared" si="84"/>
        <v>0.85434034985668705</v>
      </c>
      <c r="L91" s="14">
        <f>417387-L96</f>
        <v>302854.45999999996</v>
      </c>
      <c r="M91" s="14">
        <f>395064.24-M96</f>
        <v>283771.69999999995</v>
      </c>
      <c r="N91" s="16">
        <f t="shared" si="85"/>
        <v>0.93699032862187337</v>
      </c>
      <c r="O91" s="14">
        <f>600359-O96</f>
        <v>491095</v>
      </c>
      <c r="P91" s="14">
        <f>599493.83-P96</f>
        <v>513390.62999999995</v>
      </c>
      <c r="Q91" s="16">
        <f t="shared" si="86"/>
        <v>1.0453998309899306</v>
      </c>
      <c r="R91" s="14">
        <f>693448-R96</f>
        <v>576917.4</v>
      </c>
      <c r="S91" s="14">
        <f>685409.68-S96</f>
        <v>568879.4</v>
      </c>
      <c r="T91" s="16">
        <f>S91/R91</f>
        <v>0.98606732956918963</v>
      </c>
      <c r="U91" s="14">
        <f>481329-U96</f>
        <v>371329</v>
      </c>
      <c r="V91" s="14">
        <f>481096.95-V96</f>
        <v>406370.43</v>
      </c>
      <c r="W91" s="16">
        <f>V91/U91</f>
        <v>1.0943676093168053</v>
      </c>
      <c r="X91" s="14">
        <f>266968-X96</f>
        <v>199016</v>
      </c>
      <c r="Y91" s="14">
        <f>266968-Y96</f>
        <v>200143.15</v>
      </c>
      <c r="Z91" s="16">
        <f>Y91/X91</f>
        <v>1.0056636149857299</v>
      </c>
      <c r="AA91" s="14">
        <f>3008966.8-AA96</f>
        <v>2852000</v>
      </c>
      <c r="AB91" s="14">
        <f>3008766.8-AB96</f>
        <v>2851800</v>
      </c>
      <c r="AC91" s="16">
        <f>AB91/AA91</f>
        <v>0.99992987377279108</v>
      </c>
      <c r="AD91" s="14">
        <f>648629.66-AD96</f>
        <v>471036.66000000003</v>
      </c>
      <c r="AE91" s="14">
        <f>648629.66-AE96</f>
        <v>471036.66000000003</v>
      </c>
      <c r="AF91" s="16">
        <f>AE91/AD91</f>
        <v>1</v>
      </c>
      <c r="AG91" s="14">
        <f>606102-AG96</f>
        <v>443033</v>
      </c>
      <c r="AH91" s="14">
        <f>606102-AH96</f>
        <v>443033</v>
      </c>
      <c r="AI91" s="16">
        <f>AH91/AG91</f>
        <v>1</v>
      </c>
      <c r="AJ91" s="14">
        <f>643523.07-AJ96</f>
        <v>437000.6</v>
      </c>
      <c r="AK91" s="14">
        <f>643523.07-AK96</f>
        <v>437000.6</v>
      </c>
      <c r="AL91" s="16">
        <f>AK91/AJ91</f>
        <v>1</v>
      </c>
      <c r="AM91" s="14">
        <v>330997.59000000003</v>
      </c>
      <c r="AN91" s="14">
        <v>330997.59000000003</v>
      </c>
      <c r="AO91" s="16">
        <f>AN91/AM91</f>
        <v>1</v>
      </c>
    </row>
    <row r="92" spans="1:41" hidden="1" x14ac:dyDescent="0.25">
      <c r="A92" s="35"/>
      <c r="B92" s="39" t="s">
        <v>42</v>
      </c>
      <c r="C92" s="14"/>
      <c r="D92" s="14"/>
      <c r="E92" s="16"/>
      <c r="F92" s="14"/>
      <c r="G92" s="14"/>
      <c r="H92" s="16"/>
      <c r="I92" s="14"/>
      <c r="J92" s="14"/>
      <c r="K92" s="16"/>
      <c r="L92" s="14"/>
      <c r="M92" s="14"/>
      <c r="N92" s="16"/>
      <c r="O92" s="14"/>
      <c r="P92" s="14"/>
      <c r="Q92" s="16"/>
      <c r="R92" s="14"/>
      <c r="S92" s="14"/>
      <c r="T92" s="16"/>
      <c r="U92" s="14"/>
      <c r="V92" s="14"/>
      <c r="W92" s="16"/>
      <c r="X92" s="14"/>
      <c r="Y92" s="14"/>
      <c r="Z92" s="16"/>
      <c r="AA92" s="14">
        <v>734000</v>
      </c>
      <c r="AB92" s="14">
        <v>734000</v>
      </c>
      <c r="AC92" s="16">
        <f>AB92/AA92</f>
        <v>1</v>
      </c>
      <c r="AD92" s="14"/>
      <c r="AE92" s="14"/>
      <c r="AF92" s="16"/>
      <c r="AG92" s="14"/>
      <c r="AH92" s="14"/>
      <c r="AI92" s="16"/>
      <c r="AJ92" s="14"/>
      <c r="AK92" s="14"/>
      <c r="AL92" s="16"/>
      <c r="AM92" s="14"/>
      <c r="AN92" s="14">
        <f t="shared" ref="AN92" si="87">AM92</f>
        <v>0</v>
      </c>
      <c r="AO92" s="16"/>
    </row>
    <row r="93" spans="1:41" x14ac:dyDescent="0.25">
      <c r="A93" s="35"/>
      <c r="B93" s="54" t="s">
        <v>46</v>
      </c>
      <c r="C93" s="17">
        <f>SUM(C89:C92)</f>
        <v>1064000</v>
      </c>
      <c r="D93" s="17">
        <f>SUM(D89:D92)</f>
        <v>593629.54</v>
      </c>
      <c r="E93" s="16">
        <f>D93/C93</f>
        <v>0.55792249999999999</v>
      </c>
      <c r="F93" s="17">
        <f>SUM(F89:F92)</f>
        <v>781000</v>
      </c>
      <c r="G93" s="17">
        <f>SUM(G89:G92)</f>
        <v>530727.92000000004</v>
      </c>
      <c r="H93" s="16">
        <f>G93/F93</f>
        <v>0.67954919334186947</v>
      </c>
      <c r="I93" s="17">
        <f>SUM(I89:I92)</f>
        <v>742000</v>
      </c>
      <c r="J93" s="17">
        <f>SUM(J89:J92)</f>
        <v>676393</v>
      </c>
      <c r="K93" s="16">
        <f>J93/I93</f>
        <v>0.91158086253369275</v>
      </c>
      <c r="L93" s="17">
        <f>SUM(L89:L92)</f>
        <v>766340</v>
      </c>
      <c r="M93" s="17">
        <f>SUM(M89:M92)</f>
        <v>764384.7</v>
      </c>
      <c r="N93" s="16">
        <f>M93/L93</f>
        <v>0.99744852154396213</v>
      </c>
      <c r="O93" s="17">
        <f>SUM(O89:O92)</f>
        <v>666655</v>
      </c>
      <c r="P93" s="17">
        <f>SUM(P89:P92)</f>
        <v>715030.29999999993</v>
      </c>
      <c r="Q93" s="16">
        <f>P93/O93</f>
        <v>1.0725642198738476</v>
      </c>
      <c r="R93" s="17">
        <f>SUM(R89:R92)</f>
        <v>681147</v>
      </c>
      <c r="S93" s="17">
        <f>SUM(S89:S92)</f>
        <v>673109</v>
      </c>
      <c r="T93" s="16">
        <f>S93/R93</f>
        <v>0.98819931674073291</v>
      </c>
      <c r="U93" s="17">
        <f>SUM(U89:U92)</f>
        <v>469329</v>
      </c>
      <c r="V93" s="17">
        <f>SUM(V89:V92)</f>
        <v>504370.43</v>
      </c>
      <c r="W93" s="16">
        <f>V93/U93</f>
        <v>1.0746628271425802</v>
      </c>
      <c r="X93" s="17">
        <f>SUM(X89:X92)</f>
        <v>297016</v>
      </c>
      <c r="Y93" s="17">
        <f>SUM(Y89:Y92)</f>
        <v>298143.15000000002</v>
      </c>
      <c r="Z93" s="167">
        <f>Y93/X93</f>
        <v>1.0037949134053386</v>
      </c>
      <c r="AA93" s="17">
        <f>SUM(AA89:AA92)</f>
        <v>3669000</v>
      </c>
      <c r="AB93" s="17">
        <f>SUM(AB89:AB92)</f>
        <v>3668800</v>
      </c>
      <c r="AC93" s="167">
        <f>AB93/AA93</f>
        <v>0.99994548923412374</v>
      </c>
      <c r="AD93" s="17">
        <f>SUM(AD89:AD92)</f>
        <v>570407</v>
      </c>
      <c r="AE93" s="17">
        <f>SUM(AE89:AE92)</f>
        <v>570407</v>
      </c>
      <c r="AF93" s="167">
        <f>AE93/AD93</f>
        <v>1</v>
      </c>
      <c r="AG93" s="17">
        <f>SUM(AG89:AG92)</f>
        <v>562161</v>
      </c>
      <c r="AH93" s="17">
        <f>SUM(AH89:AH92)</f>
        <v>555161</v>
      </c>
      <c r="AI93" s="167">
        <f>AH93/AG93</f>
        <v>0.98754805118106737</v>
      </c>
      <c r="AJ93" s="17">
        <f>SUM(AJ89:AJ92)</f>
        <v>561000</v>
      </c>
      <c r="AK93" s="17">
        <f>SUM(AK89:AK92)</f>
        <v>561000</v>
      </c>
      <c r="AL93" s="167">
        <f>AK93/AJ93</f>
        <v>1</v>
      </c>
      <c r="AM93" s="17">
        <f>SUM(AM89:AM92)</f>
        <v>581000</v>
      </c>
      <c r="AN93" s="17">
        <f>SUM(AN89:AN92)</f>
        <v>581000</v>
      </c>
      <c r="AO93" s="167">
        <f>AN93/AM93</f>
        <v>1</v>
      </c>
    </row>
    <row r="94" spans="1:41" ht="22.5" customHeight="1" x14ac:dyDescent="0.25">
      <c r="A94" s="35"/>
      <c r="B94" s="53" t="s">
        <v>45</v>
      </c>
      <c r="C94" s="14"/>
      <c r="D94" s="14"/>
      <c r="E94" s="14"/>
      <c r="F94" s="14"/>
      <c r="G94" s="14"/>
      <c r="H94" s="14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</row>
    <row r="95" spans="1:41" x14ac:dyDescent="0.25">
      <c r="A95" s="35"/>
      <c r="B95" s="58" t="s">
        <v>7</v>
      </c>
      <c r="C95" s="14"/>
      <c r="D95" s="14"/>
      <c r="E95" s="16" t="e">
        <f>D95/C95</f>
        <v>#DIV/0!</v>
      </c>
      <c r="F95" s="14"/>
      <c r="G95" s="14"/>
      <c r="H95" s="16" t="e">
        <f>G95/F95</f>
        <v>#DIV/0!</v>
      </c>
      <c r="I95" s="14"/>
      <c r="J95" s="14"/>
      <c r="K95" s="16" t="e">
        <f>J95/I95</f>
        <v>#DIV/0!</v>
      </c>
      <c r="L95" s="14">
        <v>17127.46</v>
      </c>
      <c r="M95" s="14">
        <v>0</v>
      </c>
      <c r="N95" s="16">
        <f>M95/L95</f>
        <v>0</v>
      </c>
      <c r="O95" s="14">
        <v>26081</v>
      </c>
      <c r="P95" s="14"/>
      <c r="Q95" s="16">
        <f>P95/O95</f>
        <v>0</v>
      </c>
      <c r="R95" s="14">
        <v>25322.400000000001</v>
      </c>
      <c r="S95" s="14">
        <v>25322.400000000001</v>
      </c>
      <c r="T95" s="16">
        <f>S95/R95</f>
        <v>1</v>
      </c>
      <c r="U95" s="14"/>
      <c r="V95" s="14"/>
      <c r="W95" s="16" t="e">
        <f>V95/U95</f>
        <v>#DIV/0!</v>
      </c>
      <c r="X95" s="14"/>
      <c r="Y95" s="14"/>
      <c r="Z95" s="16" t="e">
        <f t="shared" ref="Z95:Z100" si="88">Y95/X95</f>
        <v>#DIV/0!</v>
      </c>
      <c r="AA95" s="14">
        <v>41033.199999999997</v>
      </c>
      <c r="AB95" s="14">
        <v>41033.199999999997</v>
      </c>
      <c r="AC95" s="16">
        <f t="shared" ref="AC95:AC100" si="89">AB95/AA95</f>
        <v>1</v>
      </c>
      <c r="AD95" s="14">
        <v>25000</v>
      </c>
      <c r="AE95" s="14">
        <v>25000</v>
      </c>
      <c r="AF95" s="16">
        <f t="shared" ref="AF95:AF100" si="90">AE95/AD95</f>
        <v>1</v>
      </c>
      <c r="AG95" s="14">
        <v>72770</v>
      </c>
      <c r="AH95" s="14">
        <v>53373.3</v>
      </c>
      <c r="AI95" s="16">
        <f t="shared" ref="AI95:AI100" si="91">AH95/AG95</f>
        <v>0.73345197196646972</v>
      </c>
      <c r="AJ95" s="14">
        <v>43477.53</v>
      </c>
      <c r="AK95" s="14">
        <v>43477.53</v>
      </c>
      <c r="AL95" s="16">
        <f t="shared" ref="AL95:AL100" si="92">AK95/AJ95</f>
        <v>1</v>
      </c>
      <c r="AM95" s="14">
        <v>65796.67</v>
      </c>
      <c r="AN95" s="14">
        <v>65796.67</v>
      </c>
      <c r="AO95" s="16">
        <f t="shared" ref="AO95:AO100" si="93">AN95/AM95</f>
        <v>1</v>
      </c>
    </row>
    <row r="96" spans="1:41" x14ac:dyDescent="0.25">
      <c r="A96" s="35"/>
      <c r="B96" s="58" t="s">
        <v>8</v>
      </c>
      <c r="C96" s="14"/>
      <c r="D96" s="14"/>
      <c r="E96" s="16" t="e">
        <f>D96/C96</f>
        <v>#DIV/0!</v>
      </c>
      <c r="F96" s="14">
        <v>238000</v>
      </c>
      <c r="G96" s="14">
        <v>203136</v>
      </c>
      <c r="H96" s="16">
        <f>G96/F96</f>
        <v>0.85351260504201676</v>
      </c>
      <c r="I96" s="14">
        <v>277000</v>
      </c>
      <c r="J96" s="14">
        <v>277000</v>
      </c>
      <c r="K96" s="16">
        <f>J96/I96</f>
        <v>1</v>
      </c>
      <c r="L96" s="14">
        <v>114532.54000000001</v>
      </c>
      <c r="M96" s="14">
        <v>111292.54000000001</v>
      </c>
      <c r="N96" s="16">
        <f>M96/L96</f>
        <v>0.97171109625264573</v>
      </c>
      <c r="O96" s="14">
        <v>109264</v>
      </c>
      <c r="P96" s="14">
        <v>86103.2</v>
      </c>
      <c r="Q96" s="16">
        <f>P96/O96</f>
        <v>0.78802899399619264</v>
      </c>
      <c r="R96" s="14">
        <v>116530.6</v>
      </c>
      <c r="S96" s="14">
        <v>116530.28</v>
      </c>
      <c r="T96" s="16">
        <f>S96/R96</f>
        <v>0.9999972539401667</v>
      </c>
      <c r="U96" s="14">
        <v>110000</v>
      </c>
      <c r="V96" s="14">
        <v>74726.52</v>
      </c>
      <c r="W96" s="16">
        <f>V96/U96</f>
        <v>0.67933200000000005</v>
      </c>
      <c r="X96" s="14">
        <v>67952</v>
      </c>
      <c r="Y96" s="14">
        <v>66824.850000000006</v>
      </c>
      <c r="Z96" s="16">
        <f t="shared" si="88"/>
        <v>0.9834125559218273</v>
      </c>
      <c r="AA96" s="14">
        <v>156966.79999999999</v>
      </c>
      <c r="AB96" s="14">
        <v>156966.79999999999</v>
      </c>
      <c r="AC96" s="16">
        <f t="shared" si="89"/>
        <v>1</v>
      </c>
      <c r="AD96" s="14">
        <v>177593</v>
      </c>
      <c r="AE96" s="14">
        <v>177593</v>
      </c>
      <c r="AF96" s="16">
        <f t="shared" si="90"/>
        <v>1</v>
      </c>
      <c r="AG96" s="14">
        <v>163069</v>
      </c>
      <c r="AH96" s="14">
        <v>163069</v>
      </c>
      <c r="AI96" s="16">
        <f t="shared" si="91"/>
        <v>1</v>
      </c>
      <c r="AJ96" s="14">
        <v>206522.47</v>
      </c>
      <c r="AK96" s="14">
        <v>206522.47</v>
      </c>
      <c r="AL96" s="16">
        <f t="shared" si="92"/>
        <v>1</v>
      </c>
      <c r="AM96" s="14">
        <v>177203.33</v>
      </c>
      <c r="AN96" s="14">
        <v>177203.33</v>
      </c>
      <c r="AO96" s="16">
        <f t="shared" si="93"/>
        <v>1</v>
      </c>
    </row>
    <row r="97" spans="1:41" ht="18.75" customHeight="1" x14ac:dyDescent="0.25">
      <c r="A97" s="35"/>
      <c r="B97" s="54" t="s">
        <v>46</v>
      </c>
      <c r="C97" s="17">
        <f>SUM(C95:C96)</f>
        <v>0</v>
      </c>
      <c r="D97" s="17">
        <f>SUM(D95:D96)</f>
        <v>0</v>
      </c>
      <c r="E97" s="16" t="e">
        <f>D97/C97</f>
        <v>#DIV/0!</v>
      </c>
      <c r="F97" s="17">
        <f>SUM(F95:F96)</f>
        <v>238000</v>
      </c>
      <c r="G97" s="17">
        <f>SUM(G95:G96)</f>
        <v>203136</v>
      </c>
      <c r="H97" s="16">
        <f>G97/F97</f>
        <v>0.85351260504201676</v>
      </c>
      <c r="I97" s="17">
        <f>SUM(I95:I96)</f>
        <v>277000</v>
      </c>
      <c r="J97" s="17">
        <f>SUM(J95:J96)</f>
        <v>277000</v>
      </c>
      <c r="K97" s="16">
        <f>J97/I97</f>
        <v>1</v>
      </c>
      <c r="L97" s="17">
        <f>SUM(L95:L96)</f>
        <v>131660</v>
      </c>
      <c r="M97" s="17">
        <f>SUM(M95:M96)</f>
        <v>111292.54000000001</v>
      </c>
      <c r="N97" s="16">
        <f>M97/L97</f>
        <v>0.84530259759987858</v>
      </c>
      <c r="O97" s="17">
        <f>SUM(O95:O96)</f>
        <v>135345</v>
      </c>
      <c r="P97" s="17">
        <f>SUM(P95:P96)</f>
        <v>86103.2</v>
      </c>
      <c r="Q97" s="16">
        <f>P97/O97</f>
        <v>0.63617569913923677</v>
      </c>
      <c r="R97" s="17">
        <f>SUM(R95:R96)</f>
        <v>141853</v>
      </c>
      <c r="S97" s="17">
        <f>SUM(S95:S96)</f>
        <v>141852.68</v>
      </c>
      <c r="T97" s="16">
        <f>S97/R97</f>
        <v>0.99999774414358522</v>
      </c>
      <c r="U97" s="17">
        <f>SUM(U95:U96)</f>
        <v>110000</v>
      </c>
      <c r="V97" s="17">
        <f>SUM(V95:V96)</f>
        <v>74726.52</v>
      </c>
      <c r="W97" s="16">
        <f>V97/U97</f>
        <v>0.67933200000000005</v>
      </c>
      <c r="X97" s="17">
        <f>SUM(X95:X96)</f>
        <v>67952</v>
      </c>
      <c r="Y97" s="17">
        <f>SUM(Y95:Y96)</f>
        <v>66824.850000000006</v>
      </c>
      <c r="Z97" s="167">
        <f t="shared" si="88"/>
        <v>0.9834125559218273</v>
      </c>
      <c r="AA97" s="17">
        <f>SUM(AA95:AA96)</f>
        <v>198000</v>
      </c>
      <c r="AB97" s="17">
        <f>SUM(AB95:AB96)</f>
        <v>198000</v>
      </c>
      <c r="AC97" s="167">
        <f t="shared" si="89"/>
        <v>1</v>
      </c>
      <c r="AD97" s="17">
        <f>SUM(AD95:AD96)</f>
        <v>202593</v>
      </c>
      <c r="AE97" s="17">
        <f>SUM(AE95:AE96)</f>
        <v>202593</v>
      </c>
      <c r="AF97" s="167">
        <f t="shared" si="90"/>
        <v>1</v>
      </c>
      <c r="AG97" s="17">
        <f>SUM(AG95:AG96)</f>
        <v>235839</v>
      </c>
      <c r="AH97" s="17">
        <f>SUM(AH95:AH96)</f>
        <v>216442.3</v>
      </c>
      <c r="AI97" s="167">
        <f t="shared" si="91"/>
        <v>0.91775448505124257</v>
      </c>
      <c r="AJ97" s="17">
        <f>SUM(AJ95:AJ96)</f>
        <v>250000</v>
      </c>
      <c r="AK97" s="17">
        <f>SUM(AK95:AK96)</f>
        <v>250000</v>
      </c>
      <c r="AL97" s="167">
        <f t="shared" si="92"/>
        <v>1</v>
      </c>
      <c r="AM97" s="17">
        <f>SUM(AM95:AM96)</f>
        <v>243000</v>
      </c>
      <c r="AN97" s="17">
        <f>SUM(AN95:AN96)</f>
        <v>243000</v>
      </c>
      <c r="AO97" s="167">
        <f t="shared" si="93"/>
        <v>1</v>
      </c>
    </row>
    <row r="98" spans="1:41" s="4" customFormat="1" ht="19.5" customHeight="1" x14ac:dyDescent="0.25">
      <c r="A98" s="41"/>
      <c r="B98" s="31" t="s">
        <v>115</v>
      </c>
      <c r="C98" s="20"/>
      <c r="D98" s="20"/>
      <c r="E98" s="21"/>
      <c r="F98" s="20"/>
      <c r="G98" s="20"/>
      <c r="H98" s="21"/>
      <c r="I98" s="20"/>
      <c r="J98" s="20"/>
      <c r="K98" s="21"/>
      <c r="L98" s="20"/>
      <c r="M98" s="20"/>
      <c r="N98" s="21"/>
      <c r="O98" s="20"/>
      <c r="P98" s="20"/>
      <c r="Q98" s="21"/>
      <c r="R98" s="20"/>
      <c r="S98" s="20"/>
      <c r="T98" s="21"/>
      <c r="U98" s="20"/>
      <c r="V98" s="20"/>
      <c r="W98" s="16"/>
      <c r="X98" s="12">
        <f>SUM(X91+X95)</f>
        <v>199016</v>
      </c>
      <c r="Y98" s="12">
        <f>SUM(Y91+Y95)</f>
        <v>200143.15</v>
      </c>
      <c r="Z98" s="16">
        <f t="shared" si="88"/>
        <v>1.0056636149857299</v>
      </c>
      <c r="AA98" s="12">
        <f>SUM(AA91+AA95)</f>
        <v>2893033.2</v>
      </c>
      <c r="AB98" s="12">
        <f>SUM(AB91+AB95)</f>
        <v>2892833.2</v>
      </c>
      <c r="AC98" s="16">
        <f t="shared" si="89"/>
        <v>0.99993086840482859</v>
      </c>
      <c r="AD98" s="12">
        <f>SUM(AD91+AD95)</f>
        <v>496036.66000000003</v>
      </c>
      <c r="AE98" s="12">
        <f>SUM(AE91+AE95)</f>
        <v>496036.66000000003</v>
      </c>
      <c r="AF98" s="16">
        <f t="shared" si="90"/>
        <v>1</v>
      </c>
      <c r="AG98" s="12">
        <f>SUM(AG91+AG95)</f>
        <v>515803</v>
      </c>
      <c r="AH98" s="12">
        <f>SUM(AH91+AH95)</f>
        <v>496406.3</v>
      </c>
      <c r="AI98" s="16">
        <f t="shared" si="91"/>
        <v>0.96239513922951203</v>
      </c>
      <c r="AJ98" s="12">
        <f>SUM(AJ91+AJ95)</f>
        <v>480478.13</v>
      </c>
      <c r="AK98" s="12">
        <f>SUM(AK91+AK95)</f>
        <v>480478.13</v>
      </c>
      <c r="AL98" s="16">
        <f t="shared" si="92"/>
        <v>1</v>
      </c>
      <c r="AM98" s="12">
        <f>SUM(AM91+AM95)</f>
        <v>396794.26</v>
      </c>
      <c r="AN98" s="12">
        <f>SUM(AN91+AN95)</f>
        <v>396794.26</v>
      </c>
      <c r="AO98" s="16">
        <f t="shared" si="93"/>
        <v>1</v>
      </c>
    </row>
    <row r="99" spans="1:41" s="4" customFormat="1" ht="19.5" customHeight="1" x14ac:dyDescent="0.25">
      <c r="A99" s="41"/>
      <c r="B99" s="31" t="s">
        <v>116</v>
      </c>
      <c r="C99" s="20"/>
      <c r="D99" s="20"/>
      <c r="E99" s="21"/>
      <c r="F99" s="20"/>
      <c r="G99" s="20"/>
      <c r="H99" s="21"/>
      <c r="I99" s="20"/>
      <c r="J99" s="20"/>
      <c r="K99" s="21"/>
      <c r="L99" s="20"/>
      <c r="M99" s="20"/>
      <c r="N99" s="21"/>
      <c r="O99" s="20"/>
      <c r="P99" s="20"/>
      <c r="Q99" s="21"/>
      <c r="R99" s="20"/>
      <c r="S99" s="20"/>
      <c r="T99" s="21"/>
      <c r="U99" s="20"/>
      <c r="V99" s="20"/>
      <c r="W99" s="16"/>
      <c r="X99" s="12">
        <f>X92+X96</f>
        <v>67952</v>
      </c>
      <c r="Y99" s="12">
        <f>Y92+Y96</f>
        <v>66824.850000000006</v>
      </c>
      <c r="Z99" s="16">
        <f t="shared" si="88"/>
        <v>0.9834125559218273</v>
      </c>
      <c r="AA99" s="12">
        <f>AA92+AA96</f>
        <v>890966.8</v>
      </c>
      <c r="AB99" s="12">
        <f>AB92+AB96</f>
        <v>890966.8</v>
      </c>
      <c r="AC99" s="16">
        <f t="shared" si="89"/>
        <v>1</v>
      </c>
      <c r="AD99" s="12">
        <f>AD92+AD96</f>
        <v>177593</v>
      </c>
      <c r="AE99" s="12">
        <f>AE92+AE96</f>
        <v>177593</v>
      </c>
      <c r="AF99" s="16">
        <f t="shared" si="90"/>
        <v>1</v>
      </c>
      <c r="AG99" s="12">
        <f>AG92+AG96</f>
        <v>163069</v>
      </c>
      <c r="AH99" s="12">
        <f>AH92+AH96</f>
        <v>163069</v>
      </c>
      <c r="AI99" s="16">
        <f t="shared" si="91"/>
        <v>1</v>
      </c>
      <c r="AJ99" s="12">
        <f>AJ92+AJ96</f>
        <v>206522.47</v>
      </c>
      <c r="AK99" s="12">
        <f>AK92+AK96</f>
        <v>206522.47</v>
      </c>
      <c r="AL99" s="16">
        <f t="shared" si="92"/>
        <v>1</v>
      </c>
      <c r="AM99" s="12">
        <f>AM92+AM96</f>
        <v>177203.33</v>
      </c>
      <c r="AN99" s="12">
        <f>AN92+AN96</f>
        <v>177203.33</v>
      </c>
      <c r="AO99" s="16">
        <f t="shared" si="93"/>
        <v>1</v>
      </c>
    </row>
    <row r="100" spans="1:41" s="5" customFormat="1" ht="16.899999999999999" customHeight="1" x14ac:dyDescent="0.25">
      <c r="A100" s="50"/>
      <c r="B100" s="40" t="s">
        <v>34</v>
      </c>
      <c r="C100" s="47">
        <f>C93+C97</f>
        <v>1064000</v>
      </c>
      <c r="D100" s="47">
        <f>D93+D97</f>
        <v>593629.54</v>
      </c>
      <c r="E100" s="51">
        <f>D100/C100</f>
        <v>0.55792249999999999</v>
      </c>
      <c r="F100" s="47">
        <f>F93+F97</f>
        <v>1019000</v>
      </c>
      <c r="G100" s="47">
        <f>G93+G97</f>
        <v>733863.92</v>
      </c>
      <c r="H100" s="51">
        <f>G100/F100</f>
        <v>0.72018049067713452</v>
      </c>
      <c r="I100" s="47">
        <f>I93+I97</f>
        <v>1019000</v>
      </c>
      <c r="J100" s="47">
        <f>J93+J97</f>
        <v>953393</v>
      </c>
      <c r="K100" s="51">
        <f>J100/I100</f>
        <v>0.93561629048086359</v>
      </c>
      <c r="L100" s="47">
        <f>L93+L97</f>
        <v>898000</v>
      </c>
      <c r="M100" s="47">
        <f>M93+M97</f>
        <v>875677.24</v>
      </c>
      <c r="N100" s="51">
        <f>M100/L100</f>
        <v>0.97514169265033401</v>
      </c>
      <c r="O100" s="47">
        <f>O93+O97</f>
        <v>802000</v>
      </c>
      <c r="P100" s="47">
        <f>P93+P97</f>
        <v>801133.49999999988</v>
      </c>
      <c r="Q100" s="51">
        <f>P100/O100</f>
        <v>0.99891957605985027</v>
      </c>
      <c r="R100" s="47">
        <f>R93+R97</f>
        <v>823000</v>
      </c>
      <c r="S100" s="47">
        <f>S93+S97</f>
        <v>814961.67999999993</v>
      </c>
      <c r="T100" s="51">
        <f>S100/R100</f>
        <v>0.99023290400972042</v>
      </c>
      <c r="U100" s="47">
        <f>U93+U97</f>
        <v>579329</v>
      </c>
      <c r="V100" s="47">
        <f>V93+V97</f>
        <v>579096.94999999995</v>
      </c>
      <c r="W100" s="51">
        <f>V100/U100</f>
        <v>0.99959945039865072</v>
      </c>
      <c r="X100" s="47">
        <f>X93+X97</f>
        <v>364968</v>
      </c>
      <c r="Y100" s="47">
        <f>Y93+Y97</f>
        <v>364968</v>
      </c>
      <c r="Z100" s="168">
        <f t="shared" si="88"/>
        <v>1</v>
      </c>
      <c r="AA100" s="47">
        <f>AA93+AA97</f>
        <v>3867000</v>
      </c>
      <c r="AB100" s="47">
        <f>AB93+AB97</f>
        <v>3866800</v>
      </c>
      <c r="AC100" s="168">
        <f t="shared" si="89"/>
        <v>0.99994828032066196</v>
      </c>
      <c r="AD100" s="47">
        <f>AD93+AD97</f>
        <v>773000</v>
      </c>
      <c r="AE100" s="47">
        <f>AE93+AE97</f>
        <v>773000</v>
      </c>
      <c r="AF100" s="169">
        <f t="shared" si="90"/>
        <v>1</v>
      </c>
      <c r="AG100" s="47">
        <f>AG93+AG97</f>
        <v>798000</v>
      </c>
      <c r="AH100" s="47">
        <f>AH93+AH97</f>
        <v>771603.3</v>
      </c>
      <c r="AI100" s="169">
        <f t="shared" si="91"/>
        <v>0.9669214285714286</v>
      </c>
      <c r="AJ100" s="47">
        <f>AJ93+AJ97</f>
        <v>811000</v>
      </c>
      <c r="AK100" s="47">
        <f>AK93+AK97</f>
        <v>811000</v>
      </c>
      <c r="AL100" s="169">
        <f t="shared" si="92"/>
        <v>1</v>
      </c>
      <c r="AM100" s="47">
        <f>AM93+AM97</f>
        <v>824000</v>
      </c>
      <c r="AN100" s="47">
        <f>AN93+AN97</f>
        <v>824000</v>
      </c>
      <c r="AO100" s="169">
        <f t="shared" si="93"/>
        <v>1</v>
      </c>
    </row>
    <row r="101" spans="1:41" s="6" customFormat="1" ht="10.9" customHeight="1" x14ac:dyDescent="0.25">
      <c r="A101" s="37"/>
      <c r="B101" s="38" t="s">
        <v>28</v>
      </c>
      <c r="C101" s="18"/>
      <c r="D101" s="18"/>
      <c r="E101" s="19">
        <f>E100</f>
        <v>0.55792249999999999</v>
      </c>
      <c r="F101" s="18"/>
      <c r="G101" s="18"/>
      <c r="H101" s="19">
        <f>H100</f>
        <v>0.72018049067713452</v>
      </c>
      <c r="I101" s="18"/>
      <c r="J101" s="18"/>
      <c r="K101" s="19">
        <v>0.93559999999999999</v>
      </c>
      <c r="L101" s="18"/>
      <c r="M101" s="18"/>
      <c r="N101" s="19">
        <v>0.97509999999999997</v>
      </c>
      <c r="O101" s="18"/>
      <c r="P101" s="18"/>
      <c r="Q101" s="19"/>
      <c r="R101" s="18"/>
      <c r="S101" s="18"/>
      <c r="T101" s="19"/>
      <c r="U101" s="18"/>
      <c r="V101" s="18"/>
      <c r="W101" s="19"/>
      <c r="X101" s="170"/>
      <c r="Y101" s="170"/>
      <c r="Z101" s="171"/>
      <c r="AA101" s="170"/>
      <c r="AB101" s="170"/>
      <c r="AC101" s="171"/>
      <c r="AD101" s="170"/>
      <c r="AE101" s="170"/>
      <c r="AF101" s="171"/>
      <c r="AG101" s="170"/>
      <c r="AH101" s="170"/>
      <c r="AI101" s="171"/>
      <c r="AJ101" s="170"/>
      <c r="AK101" s="170"/>
      <c r="AL101" s="171"/>
      <c r="AM101" s="170"/>
      <c r="AN101" s="170"/>
      <c r="AO101" s="171"/>
    </row>
    <row r="102" spans="1:41" s="3" customFormat="1" x14ac:dyDescent="0.25">
      <c r="A102" s="30"/>
      <c r="B102" s="31" t="s">
        <v>14</v>
      </c>
      <c r="C102" s="98">
        <f>C55+C69+C85+C100</f>
        <v>79773320</v>
      </c>
      <c r="D102" s="98">
        <f>D55+D69+D85+D100</f>
        <v>79963357.660000011</v>
      </c>
      <c r="E102" s="51">
        <f>D102/C102</f>
        <v>1.0023822207725592</v>
      </c>
      <c r="F102" s="98">
        <f>F55+F69+F85+F100</f>
        <v>91541040</v>
      </c>
      <c r="G102" s="98">
        <f>G55+G69+G85+G100</f>
        <v>85015789.620000005</v>
      </c>
      <c r="H102" s="51">
        <f t="shared" si="83"/>
        <v>0.92871776003418804</v>
      </c>
      <c r="I102" s="98">
        <f>I55+I69+I85+I100</f>
        <v>129435604</v>
      </c>
      <c r="J102" s="98">
        <f>J55+J69+J85+J100</f>
        <v>115520078.02</v>
      </c>
      <c r="K102" s="51">
        <f t="shared" si="84"/>
        <v>0.89249074018304886</v>
      </c>
      <c r="L102" s="98">
        <f>L55+L69+L85+L100</f>
        <v>134327093</v>
      </c>
      <c r="M102" s="98">
        <f>M55+M69+M85+M100</f>
        <v>112146192.42999999</v>
      </c>
      <c r="N102" s="51">
        <f t="shared" si="85"/>
        <v>0.83487396269343817</v>
      </c>
      <c r="O102" s="98">
        <f>O55+O69+O85+O100</f>
        <v>184642759</v>
      </c>
      <c r="P102" s="98">
        <f>P55+P69+P85+P100</f>
        <v>170742550.05000001</v>
      </c>
      <c r="Q102" s="51">
        <f t="shared" si="86"/>
        <v>0.92471836412496422</v>
      </c>
      <c r="R102" s="98">
        <f>R55+R69+R85+R100</f>
        <v>154620297</v>
      </c>
      <c r="S102" s="98">
        <f>S55+S69+S85+S100</f>
        <v>154589162.34</v>
      </c>
      <c r="T102" s="51">
        <f>S102/R102</f>
        <v>0.99979863794984181</v>
      </c>
      <c r="U102" s="98">
        <f>U55+U69+U85+U100</f>
        <v>181721469</v>
      </c>
      <c r="V102" s="98">
        <f>V55+V69+V85+V100</f>
        <v>181648084.44999999</v>
      </c>
      <c r="W102" s="51">
        <f>V102/U102</f>
        <v>0.99959617016963465</v>
      </c>
      <c r="X102" s="12">
        <f>X55+X69+X85+X100</f>
        <v>183867475.91</v>
      </c>
      <c r="Y102" s="12">
        <f>Y55+Y69+Y85+Y100</f>
        <v>183867475.72999996</v>
      </c>
      <c r="Z102" s="51">
        <f>Y102/X102</f>
        <v>0.99999999902103387</v>
      </c>
      <c r="AA102" s="12">
        <f>AA55+AA69+AA85+AA100</f>
        <v>240307496</v>
      </c>
      <c r="AB102" s="12">
        <f>AB55+AB69+AB85+AB100</f>
        <v>240281610.81999999</v>
      </c>
      <c r="AC102" s="51">
        <f>AB102/AA102</f>
        <v>0.99989228309382405</v>
      </c>
      <c r="AD102" s="12">
        <f>AD55+AD69+AD85+AD100</f>
        <v>405748303.99999994</v>
      </c>
      <c r="AE102" s="12">
        <f>AE55+AE69+AE85+AE100</f>
        <v>405498371.99000001</v>
      </c>
      <c r="AF102" s="51">
        <f>AE102/AD102</f>
        <v>0.99938402204633758</v>
      </c>
      <c r="AG102" s="12">
        <f>AG55+AG69+AG85+AG100</f>
        <v>462056629.99999994</v>
      </c>
      <c r="AH102" s="12">
        <f>AH55+AH69+AH85+AH100</f>
        <v>460270814.56</v>
      </c>
      <c r="AI102" s="51">
        <f>AH102/AG102</f>
        <v>0.99613507236115206</v>
      </c>
      <c r="AJ102" s="12">
        <f>AJ55+AJ69+AJ85+AJ100</f>
        <v>577004731</v>
      </c>
      <c r="AK102" s="12">
        <f>AK55+AK69+AK85+AK100</f>
        <v>576988231.46000004</v>
      </c>
      <c r="AL102" s="51">
        <f>AK102/AJ102</f>
        <v>0.99997140484451252</v>
      </c>
      <c r="AM102" s="12">
        <f>AM55+AM69+AM85+AM100</f>
        <v>762472114</v>
      </c>
      <c r="AN102" s="12">
        <f>AN55+AN69+AN85+AN100</f>
        <v>752743341.25</v>
      </c>
      <c r="AO102" s="51">
        <f>AN102/AM102</f>
        <v>0.98724048713209722</v>
      </c>
    </row>
    <row r="103" spans="1:41" s="3" customFormat="1" ht="20.25" customHeight="1" x14ac:dyDescent="0.25">
      <c r="A103" s="30" t="s">
        <v>16</v>
      </c>
      <c r="B103" s="31"/>
      <c r="C103" s="74">
        <f>C102+C24</f>
        <v>111938128</v>
      </c>
      <c r="D103" s="74">
        <f>D102+D24</f>
        <v>111938128.00000001</v>
      </c>
      <c r="E103" s="66">
        <f>D103/C103</f>
        <v>1.0000000000000002</v>
      </c>
      <c r="F103" s="74">
        <f>F102+F24</f>
        <v>122254000</v>
      </c>
      <c r="G103" s="74">
        <f>G102+G24</f>
        <v>113472525.91000001</v>
      </c>
      <c r="H103" s="66">
        <f t="shared" si="83"/>
        <v>0.92817025136191877</v>
      </c>
      <c r="I103" s="74">
        <f>I102+I24</f>
        <v>161979389</v>
      </c>
      <c r="J103" s="74">
        <f>J102+J24</f>
        <v>147080429.40000001</v>
      </c>
      <c r="K103" s="66">
        <f t="shared" si="84"/>
        <v>0.90801941103753647</v>
      </c>
      <c r="L103" s="74">
        <f>L102+L24</f>
        <v>175590282</v>
      </c>
      <c r="M103" s="74">
        <f>M102+M24</f>
        <v>153362186.69999999</v>
      </c>
      <c r="N103" s="66">
        <f t="shared" si="85"/>
        <v>0.87340930803904049</v>
      </c>
      <c r="O103" s="74">
        <f>O102+O24</f>
        <v>228722103</v>
      </c>
      <c r="P103" s="74">
        <f>P102+P24</f>
        <v>214821027.59</v>
      </c>
      <c r="Q103" s="66">
        <f t="shared" si="86"/>
        <v>0.93922285941031247</v>
      </c>
      <c r="R103" s="74">
        <f>R102+R24+R40</f>
        <v>218337629</v>
      </c>
      <c r="S103" s="74">
        <f>S102+S24+S40</f>
        <v>218299909.59</v>
      </c>
      <c r="T103" s="66">
        <f>S103/R103</f>
        <v>0.99982724274247758</v>
      </c>
      <c r="U103" s="74">
        <f>U102+U24</f>
        <v>251238338</v>
      </c>
      <c r="V103" s="74">
        <f>V102+V24</f>
        <v>251133477.81</v>
      </c>
      <c r="W103" s="66">
        <f>V103/U103</f>
        <v>0.99958262663718145</v>
      </c>
      <c r="X103" s="47">
        <f>X102+X24</f>
        <v>233735943.92000002</v>
      </c>
      <c r="Y103" s="47">
        <f>Y102+Y24</f>
        <v>233735943.73999995</v>
      </c>
      <c r="Z103" s="173">
        <f>Y103/X103</f>
        <v>0.99999999922989991</v>
      </c>
      <c r="AA103" s="47">
        <f>AA102+AA24+AA40</f>
        <v>334560983</v>
      </c>
      <c r="AB103" s="172">
        <f>AB102+AB24+AB40</f>
        <v>334535097.81999999</v>
      </c>
      <c r="AC103" s="167">
        <f>AB103/AA103</f>
        <v>0.99992262941192989</v>
      </c>
      <c r="AD103" s="172">
        <f>AD102+AD24+AD40</f>
        <v>497931270.99999994</v>
      </c>
      <c r="AE103" s="47">
        <f>AE102+AE24+AE40</f>
        <v>488997486.93000001</v>
      </c>
      <c r="AF103" s="174">
        <f>AE103/AD103</f>
        <v>0.98205819840947495</v>
      </c>
      <c r="AG103" s="47">
        <f>AG102+AG24+AG40</f>
        <v>570010074</v>
      </c>
      <c r="AH103" s="172">
        <f>AH102+AH24+AH40</f>
        <v>566025366.85000002</v>
      </c>
      <c r="AI103" s="168">
        <f>AH103/AG103</f>
        <v>0.99300940925124781</v>
      </c>
      <c r="AJ103" s="172">
        <f>AJ102+AJ24+AJ40</f>
        <v>757934134</v>
      </c>
      <c r="AK103" s="47">
        <f>AK102+AK24+AK40</f>
        <v>757917634</v>
      </c>
      <c r="AL103" s="174">
        <f>AK103/AJ103</f>
        <v>0.99997823029830712</v>
      </c>
      <c r="AM103" s="47">
        <f>AM102+AM24+AM40</f>
        <v>951736708</v>
      </c>
      <c r="AN103" s="172">
        <f>AN102+AN24+AN40</f>
        <v>941533635.13999999</v>
      </c>
      <c r="AO103" s="168">
        <f>AN103/AM103</f>
        <v>0.9892795215586031</v>
      </c>
    </row>
    <row r="104" spans="1:41" s="6" customFormat="1" ht="19.5" customHeight="1" x14ac:dyDescent="0.25">
      <c r="A104" s="99"/>
      <c r="B104" s="100" t="s">
        <v>28</v>
      </c>
      <c r="C104" s="101"/>
      <c r="D104" s="102"/>
      <c r="E104" s="103">
        <f>E103</f>
        <v>1.0000000000000002</v>
      </c>
      <c r="F104" s="102"/>
      <c r="G104" s="102"/>
      <c r="H104" s="103">
        <f>H103</f>
        <v>0.92817025136191877</v>
      </c>
      <c r="I104" s="102"/>
      <c r="J104" s="102"/>
      <c r="K104" s="103">
        <f>K103</f>
        <v>0.90801941103753647</v>
      </c>
      <c r="L104" s="102"/>
      <c r="M104" s="102"/>
      <c r="N104" s="103">
        <f>N103</f>
        <v>0.87340930803904049</v>
      </c>
      <c r="O104" s="102"/>
      <c r="P104" s="102"/>
      <c r="Q104" s="103"/>
      <c r="R104" s="102"/>
      <c r="S104" s="102"/>
      <c r="T104" s="103"/>
      <c r="U104" s="102"/>
      <c r="V104" s="102"/>
      <c r="W104" s="103"/>
      <c r="X104" s="104"/>
      <c r="Y104" s="104"/>
      <c r="Z104" s="103"/>
      <c r="AA104" s="104"/>
      <c r="AB104" s="104"/>
      <c r="AC104" s="103"/>
      <c r="AD104" s="104"/>
      <c r="AE104" s="104"/>
      <c r="AF104" s="103"/>
      <c r="AG104" s="104"/>
      <c r="AH104" s="104"/>
      <c r="AI104" s="103"/>
      <c r="AJ104" s="104"/>
      <c r="AK104" s="104"/>
      <c r="AL104" s="103"/>
      <c r="AM104" s="104"/>
      <c r="AN104" s="104"/>
      <c r="AO104" s="103"/>
    </row>
    <row r="105" spans="1:41" x14ac:dyDescent="0.25">
      <c r="A105" s="35"/>
      <c r="B105" s="3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24"/>
      <c r="Y105" s="24"/>
      <c r="Z105" s="14"/>
      <c r="AA105" s="24"/>
      <c r="AB105" s="24"/>
      <c r="AC105" s="14"/>
      <c r="AD105" s="24"/>
      <c r="AE105" s="24"/>
      <c r="AF105" s="14"/>
      <c r="AG105" s="24"/>
      <c r="AH105" s="24"/>
      <c r="AI105" s="14"/>
      <c r="AJ105" s="24"/>
      <c r="AK105" s="24"/>
      <c r="AL105" s="14"/>
      <c r="AM105" s="24"/>
      <c r="AN105" s="24"/>
      <c r="AO105" s="14"/>
    </row>
    <row r="106" spans="1:41" ht="18.75" x14ac:dyDescent="0.3">
      <c r="A106" s="32" t="s">
        <v>17</v>
      </c>
      <c r="B106" s="33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24"/>
      <c r="Y106" s="24"/>
      <c r="Z106" s="14"/>
      <c r="AA106" s="24"/>
      <c r="AB106" s="24"/>
      <c r="AC106" s="14"/>
      <c r="AD106" s="24"/>
      <c r="AE106" s="24"/>
      <c r="AF106" s="14"/>
      <c r="AG106" s="24"/>
      <c r="AH106" s="24"/>
      <c r="AI106" s="14"/>
      <c r="AJ106" s="24"/>
      <c r="AK106" s="24"/>
      <c r="AL106" s="14"/>
      <c r="AM106" s="24"/>
      <c r="AN106" s="24"/>
      <c r="AO106" s="14"/>
    </row>
    <row r="107" spans="1:41" x14ac:dyDescent="0.25">
      <c r="A107" s="34" t="s">
        <v>44</v>
      </c>
      <c r="B107" s="3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24"/>
      <c r="Y107" s="24"/>
      <c r="Z107" s="14"/>
      <c r="AA107" s="24"/>
      <c r="AB107" s="24"/>
      <c r="AC107" s="14"/>
      <c r="AD107" s="24"/>
      <c r="AE107" s="24"/>
      <c r="AF107" s="14"/>
      <c r="AG107" s="24"/>
      <c r="AH107" s="24"/>
      <c r="AI107" s="14"/>
      <c r="AJ107" s="24"/>
      <c r="AK107" s="24"/>
      <c r="AL107" s="14"/>
      <c r="AM107" s="24"/>
      <c r="AN107" s="24"/>
      <c r="AO107" s="14"/>
    </row>
    <row r="108" spans="1:41" ht="18.75" x14ac:dyDescent="0.3">
      <c r="A108" s="32"/>
      <c r="B108" s="33" t="s">
        <v>8</v>
      </c>
      <c r="C108" s="14"/>
      <c r="D108" s="14"/>
      <c r="E108" s="16"/>
      <c r="F108" s="14"/>
      <c r="G108" s="14"/>
      <c r="H108" s="16"/>
      <c r="I108" s="14"/>
      <c r="J108" s="14"/>
      <c r="K108" s="16"/>
      <c r="L108" s="14"/>
      <c r="M108" s="14"/>
      <c r="N108" s="16"/>
      <c r="O108" s="14"/>
      <c r="P108" s="14"/>
      <c r="Q108" s="16"/>
      <c r="R108" s="14"/>
      <c r="S108" s="14"/>
      <c r="T108" s="16"/>
      <c r="U108" s="14"/>
      <c r="V108" s="14"/>
      <c r="W108" s="16"/>
      <c r="X108" s="14"/>
      <c r="Y108" s="14"/>
      <c r="Z108" s="16"/>
      <c r="AA108" s="14"/>
      <c r="AB108" s="14"/>
      <c r="AC108" s="16"/>
      <c r="AD108" s="14"/>
      <c r="AE108" s="14"/>
      <c r="AF108" s="16"/>
      <c r="AG108" s="14"/>
      <c r="AH108" s="14"/>
      <c r="AI108" s="16"/>
      <c r="AJ108" s="14"/>
      <c r="AK108" s="14"/>
      <c r="AL108" s="16"/>
      <c r="AM108" s="14"/>
      <c r="AN108" s="14"/>
      <c r="AO108" s="16"/>
    </row>
    <row r="109" spans="1:41" ht="18.75" hidden="1" x14ac:dyDescent="0.3">
      <c r="A109" s="32"/>
      <c r="B109" s="53" t="s">
        <v>26</v>
      </c>
      <c r="C109" s="14"/>
      <c r="D109" s="14"/>
      <c r="E109" s="16"/>
      <c r="F109" s="14"/>
      <c r="G109" s="14"/>
      <c r="H109" s="16"/>
      <c r="I109" s="14"/>
      <c r="J109" s="14"/>
      <c r="K109" s="16"/>
      <c r="L109" s="14"/>
      <c r="M109" s="14"/>
      <c r="N109" s="16"/>
      <c r="O109" s="14">
        <v>1218549</v>
      </c>
      <c r="P109" s="14">
        <v>1207838</v>
      </c>
      <c r="Q109" s="16">
        <f t="shared" ref="Q109" si="94">P109/O109</f>
        <v>0.99121003751182757</v>
      </c>
      <c r="R109" s="14">
        <v>2500000</v>
      </c>
      <c r="S109" s="14">
        <v>2495224</v>
      </c>
      <c r="T109" s="16">
        <f>S109/R109</f>
        <v>0.99808960000000002</v>
      </c>
      <c r="U109" s="14"/>
      <c r="V109" s="14">
        <f>U109</f>
        <v>0</v>
      </c>
      <c r="W109" s="16"/>
      <c r="X109" s="14"/>
      <c r="Y109" s="14">
        <f>X109</f>
        <v>0</v>
      </c>
      <c r="Z109" s="16"/>
      <c r="AA109" s="14"/>
      <c r="AB109" s="14"/>
      <c r="AC109" s="16"/>
      <c r="AD109" s="112"/>
      <c r="AE109" s="112"/>
      <c r="AF109" s="16"/>
      <c r="AG109" s="15"/>
      <c r="AH109" s="14"/>
      <c r="AI109" s="16"/>
      <c r="AJ109" s="14"/>
      <c r="AK109" s="14"/>
      <c r="AL109" s="16"/>
      <c r="AM109" s="14"/>
      <c r="AN109" s="14"/>
      <c r="AO109" s="16"/>
    </row>
    <row r="110" spans="1:41" ht="30.75" x14ac:dyDescent="0.3">
      <c r="A110" s="156"/>
      <c r="B110" s="157" t="s">
        <v>75</v>
      </c>
      <c r="C110" s="26"/>
      <c r="D110" s="26"/>
      <c r="E110" s="96"/>
      <c r="F110" s="26"/>
      <c r="G110" s="26"/>
      <c r="H110" s="96"/>
      <c r="I110" s="26"/>
      <c r="J110" s="26"/>
      <c r="K110" s="96"/>
      <c r="L110" s="26"/>
      <c r="M110" s="26"/>
      <c r="N110" s="96"/>
      <c r="O110" s="26"/>
      <c r="P110" s="26"/>
      <c r="Q110" s="96"/>
      <c r="R110" s="26"/>
      <c r="S110" s="26"/>
      <c r="T110" s="96"/>
      <c r="U110" s="26"/>
      <c r="V110" s="26"/>
      <c r="W110" s="96"/>
      <c r="X110" s="26"/>
      <c r="Y110" s="26"/>
      <c r="Z110" s="96"/>
      <c r="AA110" s="26"/>
      <c r="AB110" s="26"/>
      <c r="AC110" s="96"/>
      <c r="AD110" s="158">
        <f>SUM(AD111:AD112)</f>
        <v>189000</v>
      </c>
      <c r="AE110" s="158">
        <f>SUM(AE111:AE112)</f>
        <v>189000</v>
      </c>
      <c r="AF110" s="159">
        <f t="shared" ref="AF110:AF144" si="95">AE110/AD110</f>
        <v>1</v>
      </c>
      <c r="AG110" s="27"/>
      <c r="AH110" s="26"/>
      <c r="AI110" s="96"/>
      <c r="AJ110" s="26"/>
      <c r="AK110" s="26"/>
      <c r="AL110" s="96"/>
      <c r="AM110" s="26"/>
      <c r="AN110" s="26"/>
      <c r="AO110" s="96"/>
    </row>
    <row r="111" spans="1:41" s="121" customFormat="1" ht="18.75" hidden="1" x14ac:dyDescent="0.3">
      <c r="A111" s="116"/>
      <c r="B111" s="138" t="s">
        <v>7</v>
      </c>
      <c r="C111" s="118"/>
      <c r="D111" s="118"/>
      <c r="E111" s="119"/>
      <c r="F111" s="118"/>
      <c r="G111" s="118"/>
      <c r="H111" s="119"/>
      <c r="I111" s="118"/>
      <c r="J111" s="118"/>
      <c r="K111" s="119"/>
      <c r="L111" s="118"/>
      <c r="M111" s="118"/>
      <c r="N111" s="119"/>
      <c r="O111" s="118"/>
      <c r="P111" s="118"/>
      <c r="Q111" s="119"/>
      <c r="R111" s="118"/>
      <c r="S111" s="118"/>
      <c r="T111" s="119"/>
      <c r="U111" s="118"/>
      <c r="V111" s="118"/>
      <c r="W111" s="119"/>
      <c r="X111" s="118"/>
      <c r="Y111" s="118"/>
      <c r="Z111" s="119"/>
      <c r="AA111" s="118"/>
      <c r="AB111" s="118"/>
      <c r="AC111" s="119"/>
      <c r="AD111" s="120">
        <v>180</v>
      </c>
      <c r="AE111" s="120">
        <v>180</v>
      </c>
      <c r="AF111" s="122">
        <f t="shared" si="95"/>
        <v>1</v>
      </c>
      <c r="AG111" s="118"/>
      <c r="AH111" s="118"/>
      <c r="AI111" s="119"/>
      <c r="AJ111" s="118"/>
      <c r="AK111" s="118"/>
      <c r="AL111" s="119"/>
      <c r="AM111" s="118"/>
      <c r="AN111" s="118"/>
      <c r="AO111" s="119"/>
    </row>
    <row r="112" spans="1:41" s="121" customFormat="1" ht="18.75" hidden="1" x14ac:dyDescent="0.3">
      <c r="A112" s="116"/>
      <c r="B112" s="138" t="s">
        <v>8</v>
      </c>
      <c r="C112" s="118"/>
      <c r="D112" s="118"/>
      <c r="E112" s="119"/>
      <c r="F112" s="118"/>
      <c r="G112" s="118"/>
      <c r="H112" s="119"/>
      <c r="I112" s="118"/>
      <c r="J112" s="118"/>
      <c r="K112" s="119"/>
      <c r="L112" s="118"/>
      <c r="M112" s="118"/>
      <c r="N112" s="119"/>
      <c r="O112" s="118"/>
      <c r="P112" s="118"/>
      <c r="Q112" s="119"/>
      <c r="R112" s="118"/>
      <c r="S112" s="118"/>
      <c r="T112" s="119"/>
      <c r="U112" s="118"/>
      <c r="V112" s="118"/>
      <c r="W112" s="119"/>
      <c r="X112" s="118"/>
      <c r="Y112" s="118"/>
      <c r="Z112" s="119"/>
      <c r="AA112" s="118"/>
      <c r="AB112" s="118"/>
      <c r="AC112" s="119"/>
      <c r="AD112" s="120">
        <v>188820</v>
      </c>
      <c r="AE112" s="120">
        <v>188820</v>
      </c>
      <c r="AF112" s="122">
        <f t="shared" si="95"/>
        <v>1</v>
      </c>
      <c r="AG112" s="118"/>
      <c r="AH112" s="118"/>
      <c r="AI112" s="119"/>
      <c r="AJ112" s="118"/>
      <c r="AK112" s="118"/>
      <c r="AL112" s="119"/>
      <c r="AM112" s="118"/>
      <c r="AN112" s="118"/>
      <c r="AO112" s="119"/>
    </row>
    <row r="113" spans="1:41" ht="30.75" x14ac:dyDescent="0.3">
      <c r="A113" s="140"/>
      <c r="B113" s="141" t="s">
        <v>76</v>
      </c>
      <c r="C113" s="142"/>
      <c r="D113" s="142"/>
      <c r="E113" s="143"/>
      <c r="F113" s="142"/>
      <c r="G113" s="142"/>
      <c r="H113" s="143"/>
      <c r="I113" s="142"/>
      <c r="J113" s="142"/>
      <c r="K113" s="143"/>
      <c r="L113" s="142"/>
      <c r="M113" s="142"/>
      <c r="N113" s="143"/>
      <c r="O113" s="142"/>
      <c r="P113" s="142"/>
      <c r="Q113" s="143"/>
      <c r="R113" s="142"/>
      <c r="S113" s="142"/>
      <c r="T113" s="143"/>
      <c r="U113" s="142"/>
      <c r="V113" s="142"/>
      <c r="W113" s="143"/>
      <c r="X113" s="142"/>
      <c r="Y113" s="142"/>
      <c r="Z113" s="143"/>
      <c r="AA113" s="142"/>
      <c r="AB113" s="142"/>
      <c r="AC113" s="143"/>
      <c r="AD113" s="144">
        <v>813000</v>
      </c>
      <c r="AE113" s="144">
        <v>813000</v>
      </c>
      <c r="AF113" s="145">
        <f t="shared" si="95"/>
        <v>1</v>
      </c>
      <c r="AG113" s="146"/>
      <c r="AH113" s="142"/>
      <c r="AI113" s="143"/>
      <c r="AJ113" s="142"/>
      <c r="AK113" s="142"/>
      <c r="AL113" s="143"/>
      <c r="AM113" s="142"/>
      <c r="AN113" s="142"/>
      <c r="AO113" s="143"/>
    </row>
    <row r="114" spans="1:41" s="121" customFormat="1" ht="18.75" hidden="1" x14ac:dyDescent="0.3">
      <c r="A114" s="116"/>
      <c r="B114" s="117" t="s">
        <v>8</v>
      </c>
      <c r="C114" s="118"/>
      <c r="D114" s="118"/>
      <c r="E114" s="119"/>
      <c r="F114" s="118"/>
      <c r="G114" s="118"/>
      <c r="H114" s="119"/>
      <c r="I114" s="118"/>
      <c r="J114" s="118"/>
      <c r="K114" s="119"/>
      <c r="L114" s="118"/>
      <c r="M114" s="118"/>
      <c r="N114" s="119"/>
      <c r="O114" s="118"/>
      <c r="P114" s="118"/>
      <c r="Q114" s="119"/>
      <c r="R114" s="118"/>
      <c r="S114" s="118"/>
      <c r="T114" s="119"/>
      <c r="U114" s="118"/>
      <c r="V114" s="118"/>
      <c r="W114" s="119"/>
      <c r="X114" s="118"/>
      <c r="Y114" s="118"/>
      <c r="Z114" s="119"/>
      <c r="AA114" s="118"/>
      <c r="AB114" s="118"/>
      <c r="AC114" s="119"/>
      <c r="AD114" s="120">
        <v>813000</v>
      </c>
      <c r="AE114" s="120">
        <v>813000</v>
      </c>
      <c r="AF114" s="122">
        <f t="shared" si="95"/>
        <v>1</v>
      </c>
      <c r="AG114" s="118"/>
      <c r="AH114" s="118"/>
      <c r="AI114" s="119"/>
      <c r="AJ114" s="118"/>
      <c r="AK114" s="118"/>
      <c r="AL114" s="119"/>
      <c r="AM114" s="118"/>
      <c r="AN114" s="118"/>
      <c r="AO114" s="119"/>
    </row>
    <row r="115" spans="1:41" ht="45.75" x14ac:dyDescent="0.3">
      <c r="A115" s="32"/>
      <c r="B115" s="109" t="s">
        <v>77</v>
      </c>
      <c r="C115" s="14"/>
      <c r="D115" s="14"/>
      <c r="E115" s="16"/>
      <c r="F115" s="14"/>
      <c r="G115" s="14"/>
      <c r="H115" s="16"/>
      <c r="I115" s="14"/>
      <c r="J115" s="14"/>
      <c r="K115" s="16"/>
      <c r="L115" s="14"/>
      <c r="M115" s="14"/>
      <c r="N115" s="16"/>
      <c r="O115" s="14"/>
      <c r="P115" s="14"/>
      <c r="Q115" s="16"/>
      <c r="R115" s="14"/>
      <c r="S115" s="14"/>
      <c r="T115" s="16"/>
      <c r="U115" s="14"/>
      <c r="V115" s="14"/>
      <c r="W115" s="16"/>
      <c r="X115" s="14"/>
      <c r="Y115" s="14"/>
      <c r="Z115" s="16"/>
      <c r="AA115" s="14"/>
      <c r="AB115" s="14"/>
      <c r="AC115" s="16"/>
      <c r="AD115" s="112">
        <f>SUM(AD116:AD117)</f>
        <v>526000</v>
      </c>
      <c r="AE115" s="112">
        <f>SUM(AE116:AE117)</f>
        <v>526000</v>
      </c>
      <c r="AF115" s="123">
        <f t="shared" si="95"/>
        <v>1</v>
      </c>
      <c r="AG115" s="15"/>
      <c r="AH115" s="14"/>
      <c r="AI115" s="16"/>
      <c r="AJ115" s="14"/>
      <c r="AK115" s="14"/>
      <c r="AL115" s="16"/>
      <c r="AM115" s="14"/>
      <c r="AN115" s="14"/>
      <c r="AO115" s="16"/>
    </row>
    <row r="116" spans="1:41" s="121" customFormat="1" ht="18.75" hidden="1" x14ac:dyDescent="0.3">
      <c r="A116" s="116"/>
      <c r="B116" s="117" t="s">
        <v>8</v>
      </c>
      <c r="C116" s="118"/>
      <c r="D116" s="118"/>
      <c r="E116" s="119"/>
      <c r="F116" s="118"/>
      <c r="G116" s="118"/>
      <c r="H116" s="119"/>
      <c r="I116" s="118"/>
      <c r="J116" s="118"/>
      <c r="K116" s="119"/>
      <c r="L116" s="118"/>
      <c r="M116" s="118"/>
      <c r="N116" s="119"/>
      <c r="O116" s="118"/>
      <c r="P116" s="118"/>
      <c r="Q116" s="119"/>
      <c r="R116" s="118"/>
      <c r="S116" s="118"/>
      <c r="T116" s="119"/>
      <c r="U116" s="118"/>
      <c r="V116" s="118"/>
      <c r="W116" s="119"/>
      <c r="X116" s="118"/>
      <c r="Y116" s="118"/>
      <c r="Z116" s="119"/>
      <c r="AA116" s="118"/>
      <c r="AB116" s="118"/>
      <c r="AC116" s="119"/>
      <c r="AD116" s="120">
        <v>526000</v>
      </c>
      <c r="AE116" s="120">
        <v>526000</v>
      </c>
      <c r="AF116" s="122">
        <f t="shared" si="95"/>
        <v>1</v>
      </c>
      <c r="AG116" s="118"/>
      <c r="AH116" s="118"/>
      <c r="AI116" s="119"/>
      <c r="AJ116" s="118"/>
      <c r="AK116" s="118"/>
      <c r="AL116" s="119"/>
      <c r="AM116" s="118"/>
      <c r="AN116" s="118"/>
      <c r="AO116" s="119"/>
    </row>
    <row r="117" spans="1:41" s="121" customFormat="1" ht="18.75" hidden="1" x14ac:dyDescent="0.3">
      <c r="A117" s="116"/>
      <c r="B117" s="117" t="s">
        <v>42</v>
      </c>
      <c r="C117" s="118"/>
      <c r="D117" s="118"/>
      <c r="E117" s="119"/>
      <c r="F117" s="118"/>
      <c r="G117" s="118"/>
      <c r="H117" s="119"/>
      <c r="I117" s="118"/>
      <c r="J117" s="118"/>
      <c r="K117" s="119"/>
      <c r="L117" s="118"/>
      <c r="M117" s="118"/>
      <c r="N117" s="119"/>
      <c r="O117" s="118"/>
      <c r="P117" s="118"/>
      <c r="Q117" s="119"/>
      <c r="R117" s="118"/>
      <c r="S117" s="118"/>
      <c r="T117" s="119"/>
      <c r="U117" s="118"/>
      <c r="V117" s="118"/>
      <c r="W117" s="119"/>
      <c r="X117" s="118"/>
      <c r="Y117" s="118"/>
      <c r="Z117" s="119"/>
      <c r="AA117" s="118"/>
      <c r="AB117" s="118"/>
      <c r="AC117" s="119"/>
      <c r="AD117" s="120"/>
      <c r="AE117" s="120"/>
      <c r="AF117" s="122" t="e">
        <f t="shared" si="95"/>
        <v>#DIV/0!</v>
      </c>
      <c r="AG117" s="120"/>
      <c r="AH117" s="120"/>
      <c r="AI117" s="122"/>
      <c r="AJ117" s="118"/>
      <c r="AK117" s="118"/>
      <c r="AL117" s="119"/>
      <c r="AM117" s="118"/>
      <c r="AN117" s="118"/>
      <c r="AO117" s="119"/>
    </row>
    <row r="118" spans="1:41" ht="30" x14ac:dyDescent="0.3">
      <c r="A118" s="140"/>
      <c r="B118" s="153" t="s">
        <v>78</v>
      </c>
      <c r="C118" s="142"/>
      <c r="D118" s="142"/>
      <c r="E118" s="143"/>
      <c r="F118" s="142"/>
      <c r="G118" s="142"/>
      <c r="H118" s="143"/>
      <c r="I118" s="142"/>
      <c r="J118" s="142"/>
      <c r="K118" s="143"/>
      <c r="L118" s="142"/>
      <c r="M118" s="142"/>
      <c r="N118" s="143"/>
      <c r="O118" s="142"/>
      <c r="P118" s="142"/>
      <c r="Q118" s="143"/>
      <c r="R118" s="142"/>
      <c r="S118" s="142"/>
      <c r="T118" s="143"/>
      <c r="U118" s="142"/>
      <c r="V118" s="142"/>
      <c r="W118" s="143"/>
      <c r="X118" s="142"/>
      <c r="Y118" s="142"/>
      <c r="Z118" s="143"/>
      <c r="AA118" s="142"/>
      <c r="AB118" s="142"/>
      <c r="AC118" s="143"/>
      <c r="AD118" s="144">
        <f>SUM(AD119:AD121)</f>
        <v>4015000</v>
      </c>
      <c r="AE118" s="144">
        <f>SUM(AE119:AE121)</f>
        <v>4015000</v>
      </c>
      <c r="AF118" s="145">
        <f t="shared" si="95"/>
        <v>1</v>
      </c>
      <c r="AG118" s="146"/>
      <c r="AH118" s="142"/>
      <c r="AI118" s="143"/>
      <c r="AJ118" s="142"/>
      <c r="AK118" s="142"/>
      <c r="AL118" s="143"/>
      <c r="AM118" s="142"/>
      <c r="AN118" s="142"/>
      <c r="AO118" s="143"/>
    </row>
    <row r="119" spans="1:41" s="121" customFormat="1" ht="18.75" hidden="1" x14ac:dyDescent="0.3">
      <c r="A119" s="116"/>
      <c r="B119" s="117" t="s">
        <v>7</v>
      </c>
      <c r="C119" s="118"/>
      <c r="D119" s="118"/>
      <c r="E119" s="119"/>
      <c r="F119" s="118"/>
      <c r="G119" s="118"/>
      <c r="H119" s="119"/>
      <c r="I119" s="118"/>
      <c r="J119" s="118"/>
      <c r="K119" s="119"/>
      <c r="L119" s="118"/>
      <c r="M119" s="118"/>
      <c r="N119" s="119"/>
      <c r="O119" s="118"/>
      <c r="P119" s="118"/>
      <c r="Q119" s="119"/>
      <c r="R119" s="118"/>
      <c r="S119" s="118"/>
      <c r="T119" s="119"/>
      <c r="U119" s="118"/>
      <c r="V119" s="118"/>
      <c r="W119" s="119"/>
      <c r="X119" s="118"/>
      <c r="Y119" s="118"/>
      <c r="Z119" s="119"/>
      <c r="AA119" s="118"/>
      <c r="AB119" s="118"/>
      <c r="AC119" s="119"/>
      <c r="AD119" s="120">
        <v>281745</v>
      </c>
      <c r="AE119" s="120">
        <v>281745</v>
      </c>
      <c r="AF119" s="122">
        <f t="shared" si="95"/>
        <v>1</v>
      </c>
      <c r="AG119" s="118"/>
      <c r="AH119" s="118"/>
      <c r="AI119" s="119"/>
      <c r="AJ119" s="118"/>
      <c r="AK119" s="118"/>
      <c r="AL119" s="119"/>
      <c r="AM119" s="118"/>
      <c r="AN119" s="118"/>
      <c r="AO119" s="119"/>
    </row>
    <row r="120" spans="1:41" s="121" customFormat="1" ht="18.75" hidden="1" x14ac:dyDescent="0.3">
      <c r="A120" s="116"/>
      <c r="B120" s="117" t="s">
        <v>8</v>
      </c>
      <c r="C120" s="118"/>
      <c r="D120" s="118"/>
      <c r="E120" s="119"/>
      <c r="F120" s="118"/>
      <c r="G120" s="118"/>
      <c r="H120" s="119"/>
      <c r="I120" s="118"/>
      <c r="J120" s="118"/>
      <c r="K120" s="119"/>
      <c r="L120" s="118"/>
      <c r="M120" s="118"/>
      <c r="N120" s="119"/>
      <c r="O120" s="118"/>
      <c r="P120" s="118"/>
      <c r="Q120" s="119"/>
      <c r="R120" s="118"/>
      <c r="S120" s="118"/>
      <c r="T120" s="119"/>
      <c r="U120" s="118"/>
      <c r="V120" s="118"/>
      <c r="W120" s="119"/>
      <c r="X120" s="118"/>
      <c r="Y120" s="118"/>
      <c r="Z120" s="119"/>
      <c r="AA120" s="118"/>
      <c r="AB120" s="118"/>
      <c r="AC120" s="119"/>
      <c r="AD120" s="120">
        <v>3733255</v>
      </c>
      <c r="AE120" s="120">
        <v>3733255</v>
      </c>
      <c r="AF120" s="122">
        <f t="shared" si="95"/>
        <v>1</v>
      </c>
      <c r="AG120" s="118"/>
      <c r="AH120" s="118"/>
      <c r="AI120" s="119"/>
      <c r="AJ120" s="118"/>
      <c r="AK120" s="118"/>
      <c r="AL120" s="119"/>
      <c r="AM120" s="118"/>
      <c r="AN120" s="118"/>
      <c r="AO120" s="119"/>
    </row>
    <row r="121" spans="1:41" s="121" customFormat="1" ht="18.75" hidden="1" x14ac:dyDescent="0.3">
      <c r="A121" s="116"/>
      <c r="B121" s="117" t="s">
        <v>42</v>
      </c>
      <c r="C121" s="118"/>
      <c r="D121" s="118"/>
      <c r="E121" s="119"/>
      <c r="F121" s="118"/>
      <c r="G121" s="118"/>
      <c r="H121" s="119"/>
      <c r="I121" s="118"/>
      <c r="J121" s="118"/>
      <c r="K121" s="119"/>
      <c r="L121" s="118"/>
      <c r="M121" s="118"/>
      <c r="N121" s="119"/>
      <c r="O121" s="118"/>
      <c r="P121" s="118"/>
      <c r="Q121" s="119"/>
      <c r="R121" s="118"/>
      <c r="S121" s="118"/>
      <c r="T121" s="119"/>
      <c r="U121" s="118"/>
      <c r="V121" s="118"/>
      <c r="W121" s="119"/>
      <c r="X121" s="118"/>
      <c r="Y121" s="118"/>
      <c r="Z121" s="119"/>
      <c r="AA121" s="118"/>
      <c r="AB121" s="118"/>
      <c r="AC121" s="119"/>
      <c r="AD121" s="120"/>
      <c r="AE121" s="120"/>
      <c r="AF121" s="122"/>
      <c r="AG121" s="120"/>
      <c r="AH121" s="120"/>
      <c r="AI121" s="122"/>
      <c r="AJ121" s="118"/>
      <c r="AK121" s="118"/>
      <c r="AL121" s="119"/>
      <c r="AM121" s="118"/>
      <c r="AN121" s="118"/>
      <c r="AO121" s="119"/>
    </row>
    <row r="122" spans="1:41" ht="30" x14ac:dyDescent="0.3">
      <c r="A122" s="32"/>
      <c r="B122" s="139" t="s">
        <v>79</v>
      </c>
      <c r="C122" s="14"/>
      <c r="D122" s="14"/>
      <c r="E122" s="16"/>
      <c r="F122" s="14"/>
      <c r="G122" s="14"/>
      <c r="H122" s="16"/>
      <c r="I122" s="14"/>
      <c r="J122" s="14"/>
      <c r="K122" s="16"/>
      <c r="L122" s="14"/>
      <c r="M122" s="14"/>
      <c r="N122" s="16"/>
      <c r="O122" s="14"/>
      <c r="P122" s="14"/>
      <c r="Q122" s="16"/>
      <c r="R122" s="14"/>
      <c r="S122" s="14"/>
      <c r="T122" s="16"/>
      <c r="U122" s="14"/>
      <c r="V122" s="14"/>
      <c r="W122" s="16"/>
      <c r="X122" s="14"/>
      <c r="Y122" s="14"/>
      <c r="Z122" s="16"/>
      <c r="AA122" s="14"/>
      <c r="AB122" s="14"/>
      <c r="AC122" s="16"/>
      <c r="AD122" s="112">
        <f>SUM(AD123:AD124)</f>
        <v>534000</v>
      </c>
      <c r="AE122" s="112">
        <f>SUM(AE123:AE124)</f>
        <v>534000</v>
      </c>
      <c r="AF122" s="123">
        <f t="shared" si="95"/>
        <v>1</v>
      </c>
      <c r="AG122" s="15"/>
      <c r="AH122" s="14"/>
      <c r="AI122" s="16"/>
      <c r="AJ122" s="14"/>
      <c r="AK122" s="14"/>
      <c r="AL122" s="16"/>
      <c r="AM122" s="14"/>
      <c r="AN122" s="14"/>
      <c r="AO122" s="16"/>
    </row>
    <row r="123" spans="1:41" s="121" customFormat="1" ht="18.75" hidden="1" x14ac:dyDescent="0.3">
      <c r="A123" s="116"/>
      <c r="B123" s="117" t="s">
        <v>8</v>
      </c>
      <c r="C123" s="118"/>
      <c r="D123" s="118"/>
      <c r="E123" s="119"/>
      <c r="F123" s="118"/>
      <c r="G123" s="118"/>
      <c r="H123" s="119"/>
      <c r="I123" s="118"/>
      <c r="J123" s="118"/>
      <c r="K123" s="119"/>
      <c r="L123" s="118"/>
      <c r="M123" s="118"/>
      <c r="N123" s="119"/>
      <c r="O123" s="118"/>
      <c r="P123" s="118"/>
      <c r="Q123" s="119"/>
      <c r="R123" s="118"/>
      <c r="S123" s="118"/>
      <c r="T123" s="119"/>
      <c r="U123" s="118"/>
      <c r="V123" s="118"/>
      <c r="W123" s="119"/>
      <c r="X123" s="118"/>
      <c r="Y123" s="118"/>
      <c r="Z123" s="119"/>
      <c r="AA123" s="118"/>
      <c r="AB123" s="118"/>
      <c r="AC123" s="119"/>
      <c r="AD123" s="120">
        <v>534000</v>
      </c>
      <c r="AE123" s="120">
        <v>534000</v>
      </c>
      <c r="AF123" s="122">
        <f t="shared" si="95"/>
        <v>1</v>
      </c>
      <c r="AG123" s="118"/>
      <c r="AH123" s="118"/>
      <c r="AI123" s="119"/>
      <c r="AJ123" s="118"/>
      <c r="AK123" s="118"/>
      <c r="AL123" s="119"/>
      <c r="AM123" s="118"/>
      <c r="AN123" s="118"/>
      <c r="AO123" s="119"/>
    </row>
    <row r="124" spans="1:41" s="121" customFormat="1" ht="18.75" hidden="1" x14ac:dyDescent="0.3">
      <c r="A124" s="116"/>
      <c r="B124" s="117" t="s">
        <v>42</v>
      </c>
      <c r="C124" s="118"/>
      <c r="D124" s="118"/>
      <c r="E124" s="119"/>
      <c r="F124" s="118"/>
      <c r="G124" s="118"/>
      <c r="H124" s="119"/>
      <c r="I124" s="118"/>
      <c r="J124" s="118"/>
      <c r="K124" s="119"/>
      <c r="L124" s="118"/>
      <c r="M124" s="118"/>
      <c r="N124" s="119"/>
      <c r="O124" s="118"/>
      <c r="P124" s="118"/>
      <c r="Q124" s="119"/>
      <c r="R124" s="118"/>
      <c r="S124" s="118"/>
      <c r="T124" s="119"/>
      <c r="U124" s="118"/>
      <c r="V124" s="118"/>
      <c r="W124" s="119"/>
      <c r="X124" s="118"/>
      <c r="Y124" s="118"/>
      <c r="Z124" s="119"/>
      <c r="AA124" s="118"/>
      <c r="AB124" s="118"/>
      <c r="AC124" s="119"/>
      <c r="AD124" s="120"/>
      <c r="AE124" s="120"/>
      <c r="AG124" s="120"/>
      <c r="AH124" s="120"/>
      <c r="AI124" s="122"/>
      <c r="AJ124" s="118"/>
      <c r="AK124" s="118"/>
      <c r="AL124" s="119"/>
      <c r="AM124" s="118"/>
      <c r="AN124" s="118"/>
      <c r="AO124" s="119"/>
    </row>
    <row r="125" spans="1:41" ht="25.5" x14ac:dyDescent="0.3">
      <c r="A125" s="140"/>
      <c r="B125" s="152" t="s">
        <v>80</v>
      </c>
      <c r="C125" s="142"/>
      <c r="D125" s="142"/>
      <c r="E125" s="143"/>
      <c r="F125" s="142"/>
      <c r="G125" s="142"/>
      <c r="H125" s="143"/>
      <c r="I125" s="142"/>
      <c r="J125" s="142"/>
      <c r="K125" s="143"/>
      <c r="L125" s="142"/>
      <c r="M125" s="142"/>
      <c r="N125" s="143"/>
      <c r="O125" s="142"/>
      <c r="P125" s="142"/>
      <c r="Q125" s="143"/>
      <c r="R125" s="142"/>
      <c r="S125" s="142"/>
      <c r="T125" s="143"/>
      <c r="U125" s="142"/>
      <c r="V125" s="142"/>
      <c r="W125" s="143"/>
      <c r="X125" s="142"/>
      <c r="Y125" s="142"/>
      <c r="Z125" s="143"/>
      <c r="AA125" s="142"/>
      <c r="AB125" s="142"/>
      <c r="AC125" s="143"/>
      <c r="AD125" s="144">
        <f>SUM(AD126:AD128)</f>
        <v>1804000</v>
      </c>
      <c r="AE125" s="144">
        <f>SUM(AE126:AE128)</f>
        <v>1804000</v>
      </c>
      <c r="AF125" s="145">
        <f t="shared" si="95"/>
        <v>1</v>
      </c>
      <c r="AG125" s="151"/>
      <c r="AH125" s="144"/>
      <c r="AI125" s="148"/>
      <c r="AJ125" s="144"/>
      <c r="AK125" s="144"/>
      <c r="AL125" s="148"/>
      <c r="AM125" s="144"/>
      <c r="AN125" s="144"/>
      <c r="AO125" s="148"/>
    </row>
    <row r="126" spans="1:41" s="121" customFormat="1" ht="18.75" hidden="1" x14ac:dyDescent="0.3">
      <c r="A126" s="116"/>
      <c r="B126" s="117" t="s">
        <v>7</v>
      </c>
      <c r="C126" s="118"/>
      <c r="D126" s="118"/>
      <c r="E126" s="119"/>
      <c r="F126" s="118"/>
      <c r="G126" s="118"/>
      <c r="H126" s="119"/>
      <c r="I126" s="118"/>
      <c r="J126" s="118"/>
      <c r="K126" s="119"/>
      <c r="L126" s="118"/>
      <c r="M126" s="118"/>
      <c r="N126" s="119"/>
      <c r="O126" s="118"/>
      <c r="P126" s="118"/>
      <c r="Q126" s="119"/>
      <c r="R126" s="118"/>
      <c r="S126" s="118"/>
      <c r="T126" s="119"/>
      <c r="U126" s="118"/>
      <c r="V126" s="118"/>
      <c r="W126" s="119"/>
      <c r="X126" s="118"/>
      <c r="Y126" s="118"/>
      <c r="Z126" s="119"/>
      <c r="AA126" s="118"/>
      <c r="AB126" s="118"/>
      <c r="AC126" s="119"/>
      <c r="AD126" s="120">
        <v>60761.69</v>
      </c>
      <c r="AE126" s="120">
        <v>60761.69</v>
      </c>
      <c r="AF126" s="122">
        <f t="shared" ref="AF126:AF127" si="96">AE126/AD126</f>
        <v>1</v>
      </c>
      <c r="AG126" s="120"/>
      <c r="AH126" s="120"/>
      <c r="AI126" s="122"/>
      <c r="AJ126" s="120"/>
      <c r="AK126" s="120"/>
      <c r="AL126" s="122"/>
      <c r="AM126" s="120"/>
      <c r="AN126" s="120"/>
      <c r="AO126" s="122"/>
    </row>
    <row r="127" spans="1:41" s="121" customFormat="1" ht="18.75" hidden="1" x14ac:dyDescent="0.3">
      <c r="A127" s="116"/>
      <c r="B127" s="117" t="s">
        <v>8</v>
      </c>
      <c r="C127" s="118"/>
      <c r="D127" s="118"/>
      <c r="E127" s="119"/>
      <c r="F127" s="118"/>
      <c r="G127" s="118"/>
      <c r="H127" s="119"/>
      <c r="I127" s="118"/>
      <c r="J127" s="118"/>
      <c r="K127" s="119"/>
      <c r="L127" s="118"/>
      <c r="M127" s="118"/>
      <c r="N127" s="119"/>
      <c r="O127" s="118"/>
      <c r="P127" s="118"/>
      <c r="Q127" s="119"/>
      <c r="R127" s="118"/>
      <c r="S127" s="118"/>
      <c r="T127" s="119"/>
      <c r="U127" s="118"/>
      <c r="V127" s="118"/>
      <c r="W127" s="119"/>
      <c r="X127" s="118"/>
      <c r="Y127" s="118"/>
      <c r="Z127" s="119"/>
      <c r="AA127" s="118"/>
      <c r="AB127" s="118"/>
      <c r="AC127" s="119"/>
      <c r="AD127" s="120">
        <v>1743238.31</v>
      </c>
      <c r="AE127" s="120">
        <v>1743238.31</v>
      </c>
      <c r="AF127" s="122">
        <f t="shared" si="96"/>
        <v>1</v>
      </c>
      <c r="AG127" s="120"/>
      <c r="AH127" s="120"/>
      <c r="AI127" s="122"/>
      <c r="AJ127" s="120"/>
      <c r="AK127" s="120"/>
      <c r="AL127" s="122"/>
      <c r="AM127" s="120"/>
      <c r="AN127" s="120"/>
      <c r="AO127" s="122"/>
    </row>
    <row r="128" spans="1:41" s="121" customFormat="1" ht="18.75" hidden="1" x14ac:dyDescent="0.3">
      <c r="A128" s="116"/>
      <c r="B128" s="117" t="s">
        <v>42</v>
      </c>
      <c r="C128" s="118"/>
      <c r="D128" s="118"/>
      <c r="E128" s="119"/>
      <c r="F128" s="118"/>
      <c r="G128" s="118"/>
      <c r="H128" s="119"/>
      <c r="I128" s="118"/>
      <c r="J128" s="118"/>
      <c r="K128" s="119"/>
      <c r="L128" s="118"/>
      <c r="M128" s="118"/>
      <c r="N128" s="119"/>
      <c r="O128" s="118"/>
      <c r="P128" s="118"/>
      <c r="Q128" s="119"/>
      <c r="R128" s="118"/>
      <c r="S128" s="118"/>
      <c r="T128" s="119"/>
      <c r="U128" s="118"/>
      <c r="V128" s="118"/>
      <c r="W128" s="119"/>
      <c r="X128" s="118"/>
      <c r="Y128" s="118"/>
      <c r="Z128" s="119"/>
      <c r="AA128" s="118"/>
      <c r="AB128" s="118"/>
      <c r="AC128" s="119"/>
      <c r="AD128" s="120"/>
      <c r="AE128" s="120"/>
      <c r="AF128" s="122"/>
      <c r="AG128" s="120"/>
      <c r="AH128" s="120"/>
      <c r="AI128" s="122"/>
      <c r="AJ128" s="120"/>
      <c r="AK128" s="120"/>
      <c r="AL128" s="122"/>
      <c r="AM128" s="120"/>
      <c r="AN128" s="120"/>
      <c r="AO128" s="122"/>
    </row>
    <row r="129" spans="1:41" ht="27" x14ac:dyDescent="0.3">
      <c r="A129" s="32"/>
      <c r="B129" s="110" t="s">
        <v>81</v>
      </c>
      <c r="C129" s="14"/>
      <c r="D129" s="14"/>
      <c r="E129" s="16"/>
      <c r="F129" s="14"/>
      <c r="G129" s="14"/>
      <c r="H129" s="16"/>
      <c r="I129" s="14"/>
      <c r="J129" s="14"/>
      <c r="K129" s="16"/>
      <c r="L129" s="14"/>
      <c r="M129" s="14"/>
      <c r="N129" s="16"/>
      <c r="O129" s="14"/>
      <c r="P129" s="14"/>
      <c r="Q129" s="16"/>
      <c r="R129" s="14"/>
      <c r="S129" s="14"/>
      <c r="T129" s="16"/>
      <c r="U129" s="14"/>
      <c r="V129" s="14"/>
      <c r="W129" s="16"/>
      <c r="X129" s="14"/>
      <c r="Y129" s="14"/>
      <c r="Z129" s="16"/>
      <c r="AA129" s="14"/>
      <c r="AB129" s="14"/>
      <c r="AC129" s="16"/>
      <c r="AD129" s="112">
        <f>SUM(AD130:AD132)</f>
        <v>4806000</v>
      </c>
      <c r="AE129" s="112">
        <f>SUM(AE130:AE132)</f>
        <v>4806000</v>
      </c>
      <c r="AF129" s="123">
        <f t="shared" si="95"/>
        <v>1</v>
      </c>
      <c r="AG129" s="114"/>
      <c r="AH129" s="112"/>
      <c r="AI129" s="113"/>
      <c r="AJ129" s="112"/>
      <c r="AK129" s="112"/>
      <c r="AL129" s="113"/>
      <c r="AM129" s="112"/>
      <c r="AN129" s="112"/>
      <c r="AO129" s="113"/>
    </row>
    <row r="130" spans="1:41" s="121" customFormat="1" ht="18.75" hidden="1" x14ac:dyDescent="0.3">
      <c r="A130" s="116"/>
      <c r="B130" s="117" t="s">
        <v>7</v>
      </c>
      <c r="C130" s="118"/>
      <c r="D130" s="118"/>
      <c r="E130" s="119"/>
      <c r="F130" s="118"/>
      <c r="G130" s="118"/>
      <c r="H130" s="119"/>
      <c r="I130" s="118"/>
      <c r="J130" s="118"/>
      <c r="K130" s="119"/>
      <c r="L130" s="118"/>
      <c r="M130" s="118"/>
      <c r="N130" s="119"/>
      <c r="O130" s="118"/>
      <c r="P130" s="118"/>
      <c r="Q130" s="119"/>
      <c r="R130" s="118"/>
      <c r="S130" s="118"/>
      <c r="T130" s="119"/>
      <c r="U130" s="118"/>
      <c r="V130" s="118"/>
      <c r="W130" s="119"/>
      <c r="X130" s="118"/>
      <c r="Y130" s="118"/>
      <c r="Z130" s="119"/>
      <c r="AA130" s="118"/>
      <c r="AB130" s="118"/>
      <c r="AC130" s="119"/>
      <c r="AD130" s="120">
        <v>604954.98</v>
      </c>
      <c r="AE130" s="120">
        <v>604954.98</v>
      </c>
      <c r="AF130" s="122">
        <f t="shared" si="95"/>
        <v>1</v>
      </c>
      <c r="AG130" s="120"/>
      <c r="AH130" s="120"/>
      <c r="AI130" s="122"/>
      <c r="AJ130" s="120"/>
      <c r="AK130" s="120"/>
      <c r="AL130" s="122"/>
      <c r="AM130" s="120"/>
      <c r="AN130" s="120"/>
      <c r="AO130" s="122"/>
    </row>
    <row r="131" spans="1:41" s="121" customFormat="1" ht="18.75" hidden="1" x14ac:dyDescent="0.3">
      <c r="A131" s="116"/>
      <c r="B131" s="117" t="s">
        <v>8</v>
      </c>
      <c r="C131" s="118"/>
      <c r="D131" s="118"/>
      <c r="E131" s="119"/>
      <c r="F131" s="118"/>
      <c r="G131" s="118"/>
      <c r="H131" s="119"/>
      <c r="I131" s="118"/>
      <c r="J131" s="118"/>
      <c r="K131" s="119"/>
      <c r="L131" s="118"/>
      <c r="M131" s="118"/>
      <c r="N131" s="119"/>
      <c r="O131" s="118"/>
      <c r="P131" s="118"/>
      <c r="Q131" s="119"/>
      <c r="R131" s="118"/>
      <c r="S131" s="118"/>
      <c r="T131" s="119"/>
      <c r="U131" s="118"/>
      <c r="V131" s="118"/>
      <c r="W131" s="119"/>
      <c r="X131" s="118"/>
      <c r="Y131" s="118"/>
      <c r="Z131" s="119"/>
      <c r="AA131" s="118"/>
      <c r="AB131" s="118"/>
      <c r="AC131" s="119"/>
      <c r="AD131" s="120">
        <v>4201045.0199999996</v>
      </c>
      <c r="AE131" s="120">
        <v>4201045.0199999996</v>
      </c>
      <c r="AF131" s="122">
        <f t="shared" si="95"/>
        <v>1</v>
      </c>
      <c r="AG131" s="120"/>
      <c r="AH131" s="120"/>
      <c r="AI131" s="122"/>
      <c r="AJ131" s="120"/>
      <c r="AK131" s="120"/>
      <c r="AL131" s="122"/>
      <c r="AM131" s="120"/>
      <c r="AN131" s="120"/>
      <c r="AO131" s="122"/>
    </row>
    <row r="132" spans="1:41" s="121" customFormat="1" ht="18.75" hidden="1" x14ac:dyDescent="0.3">
      <c r="A132" s="116"/>
      <c r="B132" s="117" t="s">
        <v>42</v>
      </c>
      <c r="C132" s="118"/>
      <c r="D132" s="118"/>
      <c r="E132" s="119"/>
      <c r="F132" s="118"/>
      <c r="G132" s="118"/>
      <c r="H132" s="119"/>
      <c r="I132" s="118"/>
      <c r="J132" s="118"/>
      <c r="K132" s="119"/>
      <c r="L132" s="118"/>
      <c r="M132" s="118"/>
      <c r="N132" s="119"/>
      <c r="O132" s="118"/>
      <c r="P132" s="118"/>
      <c r="Q132" s="119"/>
      <c r="R132" s="118"/>
      <c r="S132" s="118"/>
      <c r="T132" s="119"/>
      <c r="U132" s="118"/>
      <c r="V132" s="118"/>
      <c r="W132" s="119"/>
      <c r="X132" s="118"/>
      <c r="Y132" s="118"/>
      <c r="Z132" s="119"/>
      <c r="AA132" s="118"/>
      <c r="AB132" s="118"/>
      <c r="AC132" s="119"/>
      <c r="AD132" s="120"/>
      <c r="AE132" s="120"/>
      <c r="AF132" s="122"/>
      <c r="AG132" s="120"/>
      <c r="AH132" s="120"/>
      <c r="AI132" s="122"/>
      <c r="AJ132" s="120"/>
      <c r="AK132" s="120"/>
      <c r="AL132" s="122"/>
      <c r="AM132" s="120"/>
      <c r="AN132" s="120"/>
      <c r="AO132" s="122"/>
    </row>
    <row r="133" spans="1:41" ht="27" x14ac:dyDescent="0.3">
      <c r="A133" s="140"/>
      <c r="B133" s="147" t="s">
        <v>82</v>
      </c>
      <c r="C133" s="142"/>
      <c r="D133" s="142"/>
      <c r="E133" s="143"/>
      <c r="F133" s="142"/>
      <c r="G133" s="142"/>
      <c r="H133" s="143"/>
      <c r="I133" s="142"/>
      <c r="J133" s="142"/>
      <c r="K133" s="143"/>
      <c r="L133" s="142"/>
      <c r="M133" s="142"/>
      <c r="N133" s="143"/>
      <c r="O133" s="142"/>
      <c r="P133" s="142"/>
      <c r="Q133" s="143"/>
      <c r="R133" s="142"/>
      <c r="S133" s="142"/>
      <c r="T133" s="143"/>
      <c r="U133" s="142"/>
      <c r="V133" s="142"/>
      <c r="W133" s="143"/>
      <c r="X133" s="142"/>
      <c r="Y133" s="142"/>
      <c r="Z133" s="143"/>
      <c r="AA133" s="142"/>
      <c r="AB133" s="142"/>
      <c r="AC133" s="143"/>
      <c r="AD133" s="144">
        <f>SUM(AD134:AD136)</f>
        <v>2434000</v>
      </c>
      <c r="AE133" s="144">
        <f>SUM(AE134:AE136)</f>
        <v>2434000</v>
      </c>
      <c r="AF133" s="145">
        <f t="shared" ref="AF133:AF134" si="97">AE133/AD133</f>
        <v>1</v>
      </c>
      <c r="AG133" s="151"/>
      <c r="AH133" s="144"/>
      <c r="AI133" s="148"/>
      <c r="AJ133" s="144"/>
      <c r="AK133" s="144"/>
      <c r="AL133" s="148"/>
      <c r="AM133" s="144"/>
      <c r="AN133" s="144"/>
      <c r="AO133" s="148"/>
    </row>
    <row r="134" spans="1:41" s="121" customFormat="1" ht="18.75" hidden="1" x14ac:dyDescent="0.3">
      <c r="A134" s="116"/>
      <c r="B134" s="117" t="s">
        <v>7</v>
      </c>
      <c r="C134" s="118"/>
      <c r="D134" s="118"/>
      <c r="E134" s="119"/>
      <c r="F134" s="118"/>
      <c r="G134" s="118"/>
      <c r="H134" s="119"/>
      <c r="I134" s="118"/>
      <c r="J134" s="118"/>
      <c r="K134" s="119"/>
      <c r="L134" s="118"/>
      <c r="M134" s="118"/>
      <c r="N134" s="119"/>
      <c r="O134" s="118"/>
      <c r="P134" s="118"/>
      <c r="Q134" s="119"/>
      <c r="R134" s="118"/>
      <c r="S134" s="118"/>
      <c r="T134" s="119"/>
      <c r="U134" s="118"/>
      <c r="V134" s="118"/>
      <c r="W134" s="119"/>
      <c r="X134" s="118"/>
      <c r="Y134" s="118"/>
      <c r="Z134" s="119"/>
      <c r="AA134" s="118"/>
      <c r="AB134" s="118"/>
      <c r="AC134" s="119"/>
      <c r="AD134" s="120">
        <v>89000</v>
      </c>
      <c r="AE134" s="120">
        <v>89000</v>
      </c>
      <c r="AF134" s="122">
        <f t="shared" si="97"/>
        <v>1</v>
      </c>
      <c r="AG134" s="120"/>
      <c r="AH134" s="120"/>
      <c r="AI134" s="122"/>
      <c r="AJ134" s="120"/>
      <c r="AK134" s="120"/>
      <c r="AL134" s="122"/>
      <c r="AM134" s="120"/>
      <c r="AN134" s="120"/>
      <c r="AO134" s="122"/>
    </row>
    <row r="135" spans="1:41" s="121" customFormat="1" ht="18.75" hidden="1" x14ac:dyDescent="0.3">
      <c r="A135" s="116"/>
      <c r="B135" s="117" t="s">
        <v>8</v>
      </c>
      <c r="C135" s="118"/>
      <c r="D135" s="118"/>
      <c r="E135" s="119"/>
      <c r="F135" s="118"/>
      <c r="G135" s="118"/>
      <c r="H135" s="119"/>
      <c r="I135" s="118"/>
      <c r="J135" s="118"/>
      <c r="K135" s="119"/>
      <c r="L135" s="118"/>
      <c r="M135" s="118"/>
      <c r="N135" s="119"/>
      <c r="O135" s="118"/>
      <c r="P135" s="118"/>
      <c r="Q135" s="119"/>
      <c r="R135" s="118"/>
      <c r="S135" s="118"/>
      <c r="T135" s="119"/>
      <c r="U135" s="118"/>
      <c r="V135" s="118"/>
      <c r="W135" s="119"/>
      <c r="X135" s="118"/>
      <c r="Y135" s="118"/>
      <c r="Z135" s="119"/>
      <c r="AA135" s="118"/>
      <c r="AB135" s="118"/>
      <c r="AC135" s="119"/>
      <c r="AD135" s="120">
        <v>2345000</v>
      </c>
      <c r="AE135" s="120">
        <v>2345000</v>
      </c>
      <c r="AF135" s="122">
        <f t="shared" si="95"/>
        <v>1</v>
      </c>
      <c r="AG135" s="120"/>
      <c r="AH135" s="120"/>
      <c r="AI135" s="122"/>
      <c r="AJ135" s="120"/>
      <c r="AK135" s="120"/>
      <c r="AL135" s="122"/>
      <c r="AM135" s="120"/>
      <c r="AN135" s="120"/>
      <c r="AO135" s="122"/>
    </row>
    <row r="136" spans="1:41" s="121" customFormat="1" ht="18.75" hidden="1" x14ac:dyDescent="0.3">
      <c r="A136" s="116"/>
      <c r="B136" s="117" t="s">
        <v>42</v>
      </c>
      <c r="C136" s="118"/>
      <c r="D136" s="118"/>
      <c r="E136" s="119"/>
      <c r="F136" s="118"/>
      <c r="G136" s="118"/>
      <c r="H136" s="119"/>
      <c r="I136" s="118"/>
      <c r="J136" s="118"/>
      <c r="K136" s="119"/>
      <c r="L136" s="118"/>
      <c r="M136" s="118"/>
      <c r="N136" s="119"/>
      <c r="O136" s="118"/>
      <c r="P136" s="118"/>
      <c r="Q136" s="119"/>
      <c r="R136" s="118"/>
      <c r="S136" s="118"/>
      <c r="T136" s="119"/>
      <c r="U136" s="118"/>
      <c r="V136" s="118"/>
      <c r="W136" s="119"/>
      <c r="X136" s="118"/>
      <c r="Y136" s="118"/>
      <c r="Z136" s="119"/>
      <c r="AA136" s="118"/>
      <c r="AB136" s="118"/>
      <c r="AC136" s="119"/>
      <c r="AD136" s="120"/>
      <c r="AE136" s="120"/>
      <c r="AF136" s="122"/>
      <c r="AG136" s="120"/>
      <c r="AH136" s="120"/>
      <c r="AI136" s="122"/>
      <c r="AJ136" s="120"/>
      <c r="AK136" s="120"/>
      <c r="AL136" s="122"/>
      <c r="AM136" s="120"/>
      <c r="AN136" s="120"/>
      <c r="AO136" s="122"/>
    </row>
    <row r="137" spans="1:41" ht="27" x14ac:dyDescent="0.3">
      <c r="A137" s="32"/>
      <c r="B137" s="110" t="s">
        <v>83</v>
      </c>
      <c r="C137" s="14"/>
      <c r="D137" s="14"/>
      <c r="E137" s="16"/>
      <c r="F137" s="14"/>
      <c r="G137" s="14"/>
      <c r="H137" s="16"/>
      <c r="I137" s="14"/>
      <c r="J137" s="14"/>
      <c r="K137" s="16"/>
      <c r="L137" s="14"/>
      <c r="M137" s="14"/>
      <c r="N137" s="16"/>
      <c r="O137" s="14"/>
      <c r="P137" s="14"/>
      <c r="Q137" s="16"/>
      <c r="R137" s="14"/>
      <c r="S137" s="14"/>
      <c r="T137" s="16"/>
      <c r="U137" s="14"/>
      <c r="V137" s="14"/>
      <c r="W137" s="16"/>
      <c r="X137" s="14"/>
      <c r="Y137" s="14"/>
      <c r="Z137" s="16"/>
      <c r="AA137" s="14"/>
      <c r="AB137" s="14"/>
      <c r="AC137" s="16"/>
      <c r="AD137" s="112">
        <f>SUM(AD138:AD140)</f>
        <v>4405000</v>
      </c>
      <c r="AE137" s="112">
        <f>SUM(AE138:AE140)</f>
        <v>4405000</v>
      </c>
      <c r="AF137" s="123">
        <f t="shared" ref="AF137" si="98">AE137/AD137</f>
        <v>1</v>
      </c>
      <c r="AG137" s="114"/>
      <c r="AH137" s="112"/>
      <c r="AI137" s="113"/>
      <c r="AJ137" s="112"/>
      <c r="AK137" s="112"/>
      <c r="AL137" s="113"/>
      <c r="AM137" s="112"/>
      <c r="AN137" s="112"/>
      <c r="AO137" s="113"/>
    </row>
    <row r="138" spans="1:41" s="121" customFormat="1" ht="18.75" hidden="1" x14ac:dyDescent="0.3">
      <c r="A138" s="116"/>
      <c r="B138" s="117" t="s">
        <v>7</v>
      </c>
      <c r="C138" s="118"/>
      <c r="D138" s="118"/>
      <c r="E138" s="119"/>
      <c r="F138" s="118"/>
      <c r="G138" s="118"/>
      <c r="H138" s="119"/>
      <c r="I138" s="118"/>
      <c r="J138" s="118"/>
      <c r="K138" s="119"/>
      <c r="L138" s="118"/>
      <c r="M138" s="118"/>
      <c r="N138" s="119"/>
      <c r="O138" s="118"/>
      <c r="P138" s="118"/>
      <c r="Q138" s="119"/>
      <c r="R138" s="118"/>
      <c r="S138" s="118"/>
      <c r="T138" s="119"/>
      <c r="U138" s="118"/>
      <c r="V138" s="118"/>
      <c r="W138" s="119"/>
      <c r="X138" s="118"/>
      <c r="Y138" s="118"/>
      <c r="Z138" s="119"/>
      <c r="AA138" s="118"/>
      <c r="AB138" s="118"/>
      <c r="AC138" s="119"/>
      <c r="AD138" s="120">
        <v>35217.120000000003</v>
      </c>
      <c r="AE138" s="120">
        <v>35217.120000000003</v>
      </c>
      <c r="AF138" s="122">
        <f t="shared" si="95"/>
        <v>1</v>
      </c>
      <c r="AG138" s="120"/>
      <c r="AH138" s="120"/>
      <c r="AI138" s="122"/>
      <c r="AJ138" s="120"/>
      <c r="AK138" s="120"/>
      <c r="AL138" s="122"/>
      <c r="AM138" s="120"/>
      <c r="AN138" s="120"/>
      <c r="AO138" s="122"/>
    </row>
    <row r="139" spans="1:41" s="121" customFormat="1" ht="18.75" hidden="1" x14ac:dyDescent="0.3">
      <c r="A139" s="116"/>
      <c r="B139" s="117" t="s">
        <v>8</v>
      </c>
      <c r="C139" s="118"/>
      <c r="D139" s="118"/>
      <c r="E139" s="119"/>
      <c r="F139" s="118"/>
      <c r="G139" s="118"/>
      <c r="H139" s="119"/>
      <c r="I139" s="118"/>
      <c r="J139" s="118"/>
      <c r="K139" s="119"/>
      <c r="L139" s="118"/>
      <c r="M139" s="118"/>
      <c r="N139" s="119"/>
      <c r="O139" s="118"/>
      <c r="P139" s="118"/>
      <c r="Q139" s="119"/>
      <c r="R139" s="118"/>
      <c r="S139" s="118"/>
      <c r="T139" s="119"/>
      <c r="U139" s="118"/>
      <c r="V139" s="118"/>
      <c r="W139" s="119"/>
      <c r="X139" s="118"/>
      <c r="Y139" s="118"/>
      <c r="Z139" s="119"/>
      <c r="AA139" s="118"/>
      <c r="AB139" s="118"/>
      <c r="AC139" s="119"/>
      <c r="AD139" s="120">
        <v>4369782.88</v>
      </c>
      <c r="AE139" s="120">
        <v>4369782.88</v>
      </c>
      <c r="AF139" s="122">
        <f t="shared" ref="AF139" si="99">AE139/AD139</f>
        <v>1</v>
      </c>
      <c r="AG139" s="120"/>
      <c r="AH139" s="120"/>
      <c r="AI139" s="122"/>
      <c r="AJ139" s="120"/>
      <c r="AK139" s="120"/>
      <c r="AL139" s="122"/>
      <c r="AM139" s="120"/>
      <c r="AN139" s="120"/>
      <c r="AO139" s="122"/>
    </row>
    <row r="140" spans="1:41" s="121" customFormat="1" ht="18.75" hidden="1" x14ac:dyDescent="0.3">
      <c r="A140" s="116"/>
      <c r="B140" s="117" t="s">
        <v>42</v>
      </c>
      <c r="C140" s="118"/>
      <c r="D140" s="118"/>
      <c r="E140" s="119"/>
      <c r="F140" s="118"/>
      <c r="G140" s="118"/>
      <c r="H140" s="119"/>
      <c r="I140" s="118"/>
      <c r="J140" s="118"/>
      <c r="K140" s="119"/>
      <c r="L140" s="118"/>
      <c r="M140" s="118"/>
      <c r="N140" s="119"/>
      <c r="O140" s="118"/>
      <c r="P140" s="118"/>
      <c r="Q140" s="119"/>
      <c r="R140" s="118"/>
      <c r="S140" s="118"/>
      <c r="T140" s="119"/>
      <c r="U140" s="118"/>
      <c r="V140" s="118"/>
      <c r="W140" s="119"/>
      <c r="X140" s="118"/>
      <c r="Y140" s="118"/>
      <c r="Z140" s="119"/>
      <c r="AA140" s="118"/>
      <c r="AB140" s="118"/>
      <c r="AC140" s="119"/>
      <c r="AD140" s="120"/>
      <c r="AE140" s="120"/>
      <c r="AF140" s="122"/>
      <c r="AG140" s="120"/>
      <c r="AH140" s="120"/>
      <c r="AI140" s="122"/>
      <c r="AJ140" s="120"/>
      <c r="AK140" s="120"/>
      <c r="AL140" s="122"/>
      <c r="AM140" s="120"/>
      <c r="AN140" s="120"/>
      <c r="AO140" s="122"/>
    </row>
    <row r="141" spans="1:41" ht="27" x14ac:dyDescent="0.3">
      <c r="A141" s="140"/>
      <c r="B141" s="147" t="s">
        <v>84</v>
      </c>
      <c r="C141" s="142"/>
      <c r="D141" s="142"/>
      <c r="E141" s="143"/>
      <c r="F141" s="142"/>
      <c r="G141" s="142"/>
      <c r="H141" s="143"/>
      <c r="I141" s="142"/>
      <c r="J141" s="142"/>
      <c r="K141" s="143"/>
      <c r="L141" s="142"/>
      <c r="M141" s="142"/>
      <c r="N141" s="143"/>
      <c r="O141" s="142"/>
      <c r="P141" s="142"/>
      <c r="Q141" s="143"/>
      <c r="R141" s="142"/>
      <c r="S141" s="142"/>
      <c r="T141" s="143"/>
      <c r="U141" s="142"/>
      <c r="V141" s="142"/>
      <c r="W141" s="143"/>
      <c r="X141" s="142"/>
      <c r="Y141" s="142"/>
      <c r="Z141" s="143"/>
      <c r="AA141" s="142"/>
      <c r="AB141" s="142"/>
      <c r="AC141" s="143"/>
      <c r="AD141" s="144">
        <f>SUM(AD142:AD143)</f>
        <v>2791000</v>
      </c>
      <c r="AE141" s="144">
        <f>SUM(AE142:AE143)</f>
        <v>2791000</v>
      </c>
      <c r="AF141" s="145">
        <f t="shared" ref="AF141" si="100">AE141/AD141</f>
        <v>1</v>
      </c>
      <c r="AG141" s="151"/>
      <c r="AH141" s="144"/>
      <c r="AI141" s="148"/>
      <c r="AJ141" s="144"/>
      <c r="AK141" s="144"/>
      <c r="AL141" s="148"/>
      <c r="AM141" s="144"/>
      <c r="AN141" s="144"/>
      <c r="AO141" s="148"/>
    </row>
    <row r="142" spans="1:41" s="121" customFormat="1" ht="18.75" hidden="1" x14ac:dyDescent="0.3">
      <c r="A142" s="116"/>
      <c r="B142" s="117" t="s">
        <v>8</v>
      </c>
      <c r="C142" s="118"/>
      <c r="D142" s="118"/>
      <c r="E142" s="119"/>
      <c r="F142" s="118"/>
      <c r="G142" s="118"/>
      <c r="H142" s="119"/>
      <c r="I142" s="118"/>
      <c r="J142" s="118"/>
      <c r="K142" s="119"/>
      <c r="L142" s="118"/>
      <c r="M142" s="118"/>
      <c r="N142" s="119"/>
      <c r="O142" s="118"/>
      <c r="P142" s="118"/>
      <c r="Q142" s="119"/>
      <c r="R142" s="118"/>
      <c r="S142" s="118"/>
      <c r="T142" s="119"/>
      <c r="U142" s="118"/>
      <c r="V142" s="118"/>
      <c r="W142" s="119"/>
      <c r="X142" s="118"/>
      <c r="Y142" s="118"/>
      <c r="Z142" s="119"/>
      <c r="AA142" s="118"/>
      <c r="AB142" s="118"/>
      <c r="AC142" s="119"/>
      <c r="AD142" s="120">
        <v>2791000</v>
      </c>
      <c r="AE142" s="120">
        <v>2791000</v>
      </c>
      <c r="AF142" s="122">
        <f t="shared" si="95"/>
        <v>1</v>
      </c>
      <c r="AG142" s="120"/>
      <c r="AH142" s="120"/>
      <c r="AI142" s="122"/>
      <c r="AJ142" s="120"/>
      <c r="AK142" s="120"/>
      <c r="AL142" s="122"/>
      <c r="AM142" s="120"/>
      <c r="AN142" s="120"/>
      <c r="AO142" s="122"/>
    </row>
    <row r="143" spans="1:41" s="121" customFormat="1" ht="18.75" hidden="1" x14ac:dyDescent="0.3">
      <c r="A143" s="116"/>
      <c r="B143" s="117" t="s">
        <v>42</v>
      </c>
      <c r="C143" s="118"/>
      <c r="D143" s="118"/>
      <c r="E143" s="119"/>
      <c r="F143" s="118"/>
      <c r="G143" s="118"/>
      <c r="H143" s="119"/>
      <c r="I143" s="118"/>
      <c r="J143" s="118"/>
      <c r="K143" s="119"/>
      <c r="L143" s="118"/>
      <c r="M143" s="118"/>
      <c r="N143" s="119"/>
      <c r="O143" s="118"/>
      <c r="P143" s="118"/>
      <c r="Q143" s="119"/>
      <c r="R143" s="118"/>
      <c r="S143" s="118"/>
      <c r="T143" s="119"/>
      <c r="U143" s="118"/>
      <c r="V143" s="118"/>
      <c r="W143" s="119"/>
      <c r="X143" s="118"/>
      <c r="Y143" s="118"/>
      <c r="Z143" s="119"/>
      <c r="AA143" s="118"/>
      <c r="AB143" s="118"/>
      <c r="AC143" s="119"/>
      <c r="AD143" s="120"/>
      <c r="AE143" s="120"/>
      <c r="AF143" s="122"/>
      <c r="AG143" s="120"/>
      <c r="AH143" s="120"/>
      <c r="AI143" s="122"/>
      <c r="AJ143" s="120"/>
      <c r="AK143" s="120"/>
      <c r="AL143" s="122"/>
      <c r="AM143" s="120"/>
      <c r="AN143" s="120"/>
      <c r="AO143" s="122"/>
    </row>
    <row r="144" spans="1:41" ht="27" x14ac:dyDescent="0.3">
      <c r="A144" s="32"/>
      <c r="B144" s="110" t="s">
        <v>85</v>
      </c>
      <c r="C144" s="14"/>
      <c r="D144" s="14"/>
      <c r="E144" s="16"/>
      <c r="F144" s="14"/>
      <c r="G144" s="14"/>
      <c r="H144" s="16"/>
      <c r="I144" s="14"/>
      <c r="J144" s="14"/>
      <c r="K144" s="16"/>
      <c r="L144" s="14"/>
      <c r="M144" s="14"/>
      <c r="N144" s="16"/>
      <c r="O144" s="14"/>
      <c r="P144" s="14"/>
      <c r="Q144" s="16"/>
      <c r="R144" s="14"/>
      <c r="S144" s="14"/>
      <c r="T144" s="16"/>
      <c r="U144" s="14"/>
      <c r="V144" s="14"/>
      <c r="W144" s="16"/>
      <c r="X144" s="14"/>
      <c r="Y144" s="14"/>
      <c r="Z144" s="16"/>
      <c r="AA144" s="14"/>
      <c r="AB144" s="14"/>
      <c r="AC144" s="16"/>
      <c r="AD144" s="112">
        <f>SUM(AD145:AD147)</f>
        <v>2000000</v>
      </c>
      <c r="AE144" s="112">
        <f>SUM(AE145:AE147)</f>
        <v>2000000</v>
      </c>
      <c r="AF144" s="123">
        <f t="shared" si="95"/>
        <v>1</v>
      </c>
      <c r="AG144" s="114"/>
      <c r="AH144" s="112"/>
      <c r="AI144" s="113"/>
      <c r="AJ144" s="112"/>
      <c r="AK144" s="112"/>
      <c r="AL144" s="113"/>
      <c r="AM144" s="112"/>
      <c r="AN144" s="112"/>
      <c r="AO144" s="113"/>
    </row>
    <row r="145" spans="1:41" s="121" customFormat="1" ht="18.75" hidden="1" x14ac:dyDescent="0.3">
      <c r="A145" s="116"/>
      <c r="B145" s="117" t="s">
        <v>7</v>
      </c>
      <c r="C145" s="118"/>
      <c r="D145" s="118"/>
      <c r="E145" s="119"/>
      <c r="F145" s="118"/>
      <c r="G145" s="118"/>
      <c r="H145" s="119"/>
      <c r="I145" s="118"/>
      <c r="J145" s="118"/>
      <c r="K145" s="119"/>
      <c r="L145" s="118"/>
      <c r="M145" s="118"/>
      <c r="N145" s="119"/>
      <c r="O145" s="118"/>
      <c r="P145" s="118"/>
      <c r="Q145" s="119"/>
      <c r="R145" s="118"/>
      <c r="S145" s="118"/>
      <c r="T145" s="119"/>
      <c r="U145" s="118"/>
      <c r="V145" s="118"/>
      <c r="W145" s="119"/>
      <c r="X145" s="118"/>
      <c r="Y145" s="118"/>
      <c r="Z145" s="119"/>
      <c r="AA145" s="118"/>
      <c r="AB145" s="118"/>
      <c r="AC145" s="119"/>
      <c r="AD145" s="120">
        <v>123800</v>
      </c>
      <c r="AE145" s="120">
        <v>123800</v>
      </c>
      <c r="AF145" s="122">
        <f t="shared" ref="AF145:AF155" si="101">AE145/AD145</f>
        <v>1</v>
      </c>
      <c r="AG145" s="120"/>
      <c r="AH145" s="120"/>
      <c r="AI145" s="122"/>
      <c r="AJ145" s="120"/>
      <c r="AK145" s="120"/>
      <c r="AL145" s="122"/>
      <c r="AM145" s="120"/>
      <c r="AN145" s="120"/>
      <c r="AO145" s="122"/>
    </row>
    <row r="146" spans="1:41" s="121" customFormat="1" ht="18.75" hidden="1" x14ac:dyDescent="0.3">
      <c r="A146" s="116"/>
      <c r="B146" s="117" t="s">
        <v>8</v>
      </c>
      <c r="C146" s="118"/>
      <c r="D146" s="118"/>
      <c r="E146" s="119"/>
      <c r="F146" s="118"/>
      <c r="G146" s="118"/>
      <c r="H146" s="119"/>
      <c r="I146" s="118"/>
      <c r="J146" s="118"/>
      <c r="K146" s="119"/>
      <c r="L146" s="118"/>
      <c r="M146" s="118"/>
      <c r="N146" s="119"/>
      <c r="O146" s="118"/>
      <c r="P146" s="118"/>
      <c r="Q146" s="119"/>
      <c r="R146" s="118"/>
      <c r="S146" s="118"/>
      <c r="T146" s="119"/>
      <c r="U146" s="118"/>
      <c r="V146" s="118"/>
      <c r="W146" s="119"/>
      <c r="X146" s="118"/>
      <c r="Y146" s="118"/>
      <c r="Z146" s="119"/>
      <c r="AA146" s="118"/>
      <c r="AB146" s="118"/>
      <c r="AC146" s="119"/>
      <c r="AD146" s="120">
        <v>1876200</v>
      </c>
      <c r="AE146" s="120">
        <v>1876200</v>
      </c>
      <c r="AF146" s="122">
        <f t="shared" ref="AF146" si="102">AE146/AD146</f>
        <v>1</v>
      </c>
      <c r="AG146" s="120"/>
      <c r="AH146" s="120"/>
      <c r="AI146" s="122"/>
      <c r="AJ146" s="120"/>
      <c r="AK146" s="120"/>
      <c r="AL146" s="122"/>
      <c r="AM146" s="120"/>
      <c r="AN146" s="120"/>
      <c r="AO146" s="122"/>
    </row>
    <row r="147" spans="1:41" s="121" customFormat="1" ht="18.75" hidden="1" x14ac:dyDescent="0.3">
      <c r="A147" s="116"/>
      <c r="B147" s="117" t="s">
        <v>42</v>
      </c>
      <c r="C147" s="118"/>
      <c r="D147" s="118"/>
      <c r="E147" s="119"/>
      <c r="F147" s="118"/>
      <c r="G147" s="118"/>
      <c r="H147" s="119"/>
      <c r="I147" s="118"/>
      <c r="J147" s="118"/>
      <c r="K147" s="119"/>
      <c r="L147" s="118"/>
      <c r="M147" s="118"/>
      <c r="N147" s="119"/>
      <c r="O147" s="118"/>
      <c r="P147" s="118"/>
      <c r="Q147" s="119"/>
      <c r="R147" s="118"/>
      <c r="S147" s="118"/>
      <c r="T147" s="119"/>
      <c r="U147" s="118"/>
      <c r="V147" s="118"/>
      <c r="W147" s="119"/>
      <c r="X147" s="118"/>
      <c r="Y147" s="118"/>
      <c r="Z147" s="119"/>
      <c r="AA147" s="118"/>
      <c r="AB147" s="118"/>
      <c r="AC147" s="119"/>
      <c r="AD147" s="120"/>
      <c r="AE147" s="120"/>
      <c r="AF147" s="122"/>
      <c r="AG147" s="120"/>
      <c r="AH147" s="120"/>
      <c r="AI147" s="122"/>
      <c r="AJ147" s="120"/>
      <c r="AK147" s="120"/>
      <c r="AL147" s="122"/>
      <c r="AM147" s="120"/>
      <c r="AN147" s="120"/>
      <c r="AO147" s="122"/>
    </row>
    <row r="148" spans="1:41" ht="27" x14ac:dyDescent="0.3">
      <c r="A148" s="140"/>
      <c r="B148" s="147" t="s">
        <v>86</v>
      </c>
      <c r="C148" s="142"/>
      <c r="D148" s="142"/>
      <c r="E148" s="143"/>
      <c r="F148" s="142"/>
      <c r="G148" s="142"/>
      <c r="H148" s="143"/>
      <c r="I148" s="142"/>
      <c r="J148" s="142"/>
      <c r="K148" s="143"/>
      <c r="L148" s="142"/>
      <c r="M148" s="142"/>
      <c r="N148" s="143"/>
      <c r="O148" s="142"/>
      <c r="P148" s="142"/>
      <c r="Q148" s="143"/>
      <c r="R148" s="142"/>
      <c r="S148" s="142"/>
      <c r="T148" s="143"/>
      <c r="U148" s="142"/>
      <c r="V148" s="142"/>
      <c r="W148" s="143"/>
      <c r="X148" s="142"/>
      <c r="Y148" s="142"/>
      <c r="Z148" s="143"/>
      <c r="AA148" s="142"/>
      <c r="AB148" s="142"/>
      <c r="AC148" s="143"/>
      <c r="AD148" s="144">
        <f>SUM(AD149:AD151)</f>
        <v>2532000</v>
      </c>
      <c r="AE148" s="144">
        <f>SUM(AE149:AE151)</f>
        <v>2532000</v>
      </c>
      <c r="AF148" s="145">
        <f t="shared" si="101"/>
        <v>1</v>
      </c>
      <c r="AG148" s="151"/>
      <c r="AH148" s="144"/>
      <c r="AI148" s="148"/>
      <c r="AJ148" s="144"/>
      <c r="AK148" s="144"/>
      <c r="AL148" s="148"/>
      <c r="AM148" s="144"/>
      <c r="AN148" s="144"/>
      <c r="AO148" s="148"/>
    </row>
    <row r="149" spans="1:41" s="121" customFormat="1" ht="18.75" hidden="1" x14ac:dyDescent="0.3">
      <c r="A149" s="116"/>
      <c r="B149" s="117" t="s">
        <v>7</v>
      </c>
      <c r="C149" s="118"/>
      <c r="D149" s="118"/>
      <c r="E149" s="119"/>
      <c r="F149" s="118"/>
      <c r="G149" s="118"/>
      <c r="H149" s="119"/>
      <c r="I149" s="118"/>
      <c r="J149" s="118"/>
      <c r="K149" s="119"/>
      <c r="L149" s="118"/>
      <c r="M149" s="118"/>
      <c r="N149" s="119"/>
      <c r="O149" s="118"/>
      <c r="P149" s="118"/>
      <c r="Q149" s="119"/>
      <c r="R149" s="118"/>
      <c r="S149" s="118"/>
      <c r="T149" s="119"/>
      <c r="U149" s="118"/>
      <c r="V149" s="118"/>
      <c r="W149" s="119"/>
      <c r="X149" s="118"/>
      <c r="Y149" s="118"/>
      <c r="Z149" s="119"/>
      <c r="AA149" s="118"/>
      <c r="AB149" s="118"/>
      <c r="AC149" s="119"/>
      <c r="AD149" s="120">
        <v>425849.21</v>
      </c>
      <c r="AE149" s="120">
        <v>425849.21</v>
      </c>
      <c r="AF149" s="119">
        <f t="shared" si="101"/>
        <v>1</v>
      </c>
      <c r="AG149" s="120"/>
      <c r="AH149" s="120"/>
      <c r="AI149" s="122"/>
      <c r="AJ149" s="120"/>
      <c r="AK149" s="120"/>
      <c r="AL149" s="122"/>
      <c r="AM149" s="120"/>
      <c r="AN149" s="120"/>
      <c r="AO149" s="122"/>
    </row>
    <row r="150" spans="1:41" s="121" customFormat="1" ht="18.75" hidden="1" x14ac:dyDescent="0.3">
      <c r="A150" s="116"/>
      <c r="B150" s="117" t="s">
        <v>8</v>
      </c>
      <c r="C150" s="118"/>
      <c r="D150" s="118"/>
      <c r="E150" s="119"/>
      <c r="F150" s="118"/>
      <c r="G150" s="118"/>
      <c r="H150" s="119"/>
      <c r="I150" s="118"/>
      <c r="J150" s="118"/>
      <c r="K150" s="119"/>
      <c r="L150" s="118"/>
      <c r="M150" s="118"/>
      <c r="N150" s="119"/>
      <c r="O150" s="118"/>
      <c r="P150" s="118"/>
      <c r="Q150" s="119"/>
      <c r="R150" s="118"/>
      <c r="S150" s="118"/>
      <c r="T150" s="119"/>
      <c r="U150" s="118"/>
      <c r="V150" s="118"/>
      <c r="W150" s="119"/>
      <c r="X150" s="118"/>
      <c r="Y150" s="118"/>
      <c r="Z150" s="119"/>
      <c r="AA150" s="118"/>
      <c r="AB150" s="118"/>
      <c r="AC150" s="119"/>
      <c r="AD150" s="120">
        <v>2106150.79</v>
      </c>
      <c r="AE150" s="120">
        <v>2106150.79</v>
      </c>
      <c r="AF150" s="119">
        <f t="shared" ref="AF150" si="103">AE150/AD150</f>
        <v>1</v>
      </c>
      <c r="AG150" s="120"/>
      <c r="AH150" s="120"/>
      <c r="AI150" s="122"/>
      <c r="AJ150" s="120"/>
      <c r="AK150" s="120"/>
      <c r="AL150" s="122"/>
      <c r="AM150" s="120"/>
      <c r="AN150" s="120"/>
      <c r="AO150" s="122"/>
    </row>
    <row r="151" spans="1:41" s="121" customFormat="1" ht="18.75" hidden="1" x14ac:dyDescent="0.3">
      <c r="A151" s="116"/>
      <c r="B151" s="117" t="s">
        <v>42</v>
      </c>
      <c r="C151" s="118"/>
      <c r="D151" s="118"/>
      <c r="E151" s="119"/>
      <c r="F151" s="118"/>
      <c r="G151" s="118"/>
      <c r="H151" s="119"/>
      <c r="I151" s="118"/>
      <c r="J151" s="118"/>
      <c r="K151" s="119"/>
      <c r="L151" s="118"/>
      <c r="M151" s="118"/>
      <c r="N151" s="119"/>
      <c r="O151" s="118"/>
      <c r="P151" s="118"/>
      <c r="Q151" s="119"/>
      <c r="R151" s="118"/>
      <c r="S151" s="118"/>
      <c r="T151" s="119"/>
      <c r="U151" s="118"/>
      <c r="V151" s="118"/>
      <c r="W151" s="119"/>
      <c r="X151" s="118"/>
      <c r="Y151" s="118"/>
      <c r="Z151" s="119"/>
      <c r="AA151" s="118"/>
      <c r="AB151" s="118"/>
      <c r="AC151" s="119"/>
      <c r="AD151" s="120"/>
      <c r="AE151" s="120"/>
      <c r="AF151" s="119"/>
      <c r="AG151" s="120"/>
      <c r="AH151" s="120"/>
      <c r="AI151" s="119"/>
      <c r="AJ151" s="120"/>
      <c r="AK151" s="120"/>
      <c r="AL151" s="122"/>
      <c r="AM151" s="120"/>
      <c r="AN151" s="120"/>
      <c r="AO151" s="122"/>
    </row>
    <row r="152" spans="1:41" ht="25.5" x14ac:dyDescent="0.3">
      <c r="A152" s="32"/>
      <c r="B152" s="137" t="s">
        <v>87</v>
      </c>
      <c r="C152" s="14"/>
      <c r="D152" s="14"/>
      <c r="E152" s="16"/>
      <c r="F152" s="14"/>
      <c r="G152" s="14"/>
      <c r="H152" s="16"/>
      <c r="I152" s="14"/>
      <c r="J152" s="14"/>
      <c r="K152" s="16"/>
      <c r="L152" s="14"/>
      <c r="M152" s="14"/>
      <c r="N152" s="16"/>
      <c r="O152" s="14"/>
      <c r="P152" s="14"/>
      <c r="Q152" s="16"/>
      <c r="R152" s="14"/>
      <c r="S152" s="14"/>
      <c r="T152" s="16"/>
      <c r="U152" s="14"/>
      <c r="V152" s="14"/>
      <c r="W152" s="16"/>
      <c r="X152" s="14"/>
      <c r="Y152" s="14"/>
      <c r="Z152" s="16"/>
      <c r="AA152" s="14"/>
      <c r="AB152" s="14"/>
      <c r="AC152" s="16"/>
      <c r="AD152" s="112">
        <v>712000</v>
      </c>
      <c r="AE152" s="112">
        <v>712000</v>
      </c>
      <c r="AF152" s="123">
        <f t="shared" si="101"/>
        <v>1</v>
      </c>
      <c r="AG152" s="114"/>
      <c r="AH152" s="112"/>
      <c r="AI152" s="113"/>
      <c r="AJ152" s="112"/>
      <c r="AK152" s="112"/>
      <c r="AL152" s="113"/>
      <c r="AM152" s="112"/>
      <c r="AN152" s="112"/>
      <c r="AO152" s="113"/>
    </row>
    <row r="153" spans="1:41" s="121" customFormat="1" ht="18.75" hidden="1" x14ac:dyDescent="0.3">
      <c r="A153" s="116"/>
      <c r="B153" s="117" t="s">
        <v>8</v>
      </c>
      <c r="C153" s="118"/>
      <c r="D153" s="118"/>
      <c r="E153" s="119"/>
      <c r="F153" s="118"/>
      <c r="G153" s="118"/>
      <c r="H153" s="119"/>
      <c r="I153" s="118"/>
      <c r="J153" s="118"/>
      <c r="K153" s="119"/>
      <c r="L153" s="118"/>
      <c r="M153" s="118"/>
      <c r="N153" s="119"/>
      <c r="O153" s="118"/>
      <c r="P153" s="118"/>
      <c r="Q153" s="119"/>
      <c r="R153" s="118"/>
      <c r="S153" s="118"/>
      <c r="T153" s="119"/>
      <c r="U153" s="118"/>
      <c r="V153" s="118"/>
      <c r="W153" s="119"/>
      <c r="X153" s="118"/>
      <c r="Y153" s="118"/>
      <c r="Z153" s="119"/>
      <c r="AA153" s="118"/>
      <c r="AB153" s="118"/>
      <c r="AC153" s="119"/>
      <c r="AD153" s="120">
        <v>712000</v>
      </c>
      <c r="AE153" s="120">
        <v>712000</v>
      </c>
      <c r="AF153" s="119">
        <f t="shared" si="101"/>
        <v>1</v>
      </c>
      <c r="AG153" s="120"/>
      <c r="AH153" s="120"/>
      <c r="AI153" s="122"/>
      <c r="AJ153" s="120"/>
      <c r="AK153" s="120"/>
      <c r="AL153" s="122"/>
      <c r="AM153" s="120"/>
      <c r="AN153" s="120"/>
      <c r="AO153" s="122"/>
    </row>
    <row r="154" spans="1:41" ht="27" x14ac:dyDescent="0.3">
      <c r="A154" s="140"/>
      <c r="B154" s="147" t="s">
        <v>96</v>
      </c>
      <c r="C154" s="142"/>
      <c r="D154" s="142"/>
      <c r="E154" s="143"/>
      <c r="F154" s="142"/>
      <c r="G154" s="142"/>
      <c r="H154" s="143"/>
      <c r="I154" s="142"/>
      <c r="J154" s="142"/>
      <c r="K154" s="143"/>
      <c r="L154" s="142"/>
      <c r="M154" s="142"/>
      <c r="N154" s="143"/>
      <c r="O154" s="142"/>
      <c r="P154" s="142"/>
      <c r="Q154" s="143"/>
      <c r="R154" s="142"/>
      <c r="S154" s="142"/>
      <c r="T154" s="143"/>
      <c r="U154" s="142"/>
      <c r="V154" s="142"/>
      <c r="W154" s="143"/>
      <c r="X154" s="142"/>
      <c r="Y154" s="142"/>
      <c r="Z154" s="143"/>
      <c r="AA154" s="142"/>
      <c r="AB154" s="142"/>
      <c r="AC154" s="143"/>
      <c r="AD154" s="144">
        <f>SUM(AD155:AD155)</f>
        <v>500000</v>
      </c>
      <c r="AE154" s="144">
        <f>SUM(AE155:AE155)</f>
        <v>170950</v>
      </c>
      <c r="AF154" s="145">
        <f t="shared" si="101"/>
        <v>0.34189999999999998</v>
      </c>
      <c r="AG154" s="151"/>
      <c r="AH154" s="144"/>
      <c r="AI154" s="148"/>
      <c r="AJ154" s="144"/>
      <c r="AK154" s="144"/>
      <c r="AL154" s="148"/>
      <c r="AM154" s="144"/>
      <c r="AN154" s="144"/>
      <c r="AO154" s="148"/>
    </row>
    <row r="155" spans="1:41" s="121" customFormat="1" ht="18.75" hidden="1" x14ac:dyDescent="0.3">
      <c r="A155" s="116"/>
      <c r="B155" s="117" t="s">
        <v>8</v>
      </c>
      <c r="C155" s="118"/>
      <c r="D155" s="118"/>
      <c r="E155" s="119"/>
      <c r="F155" s="118"/>
      <c r="G155" s="118"/>
      <c r="H155" s="119"/>
      <c r="I155" s="118"/>
      <c r="J155" s="118"/>
      <c r="K155" s="119"/>
      <c r="L155" s="118"/>
      <c r="M155" s="118"/>
      <c r="N155" s="119"/>
      <c r="O155" s="118"/>
      <c r="P155" s="118"/>
      <c r="Q155" s="119"/>
      <c r="R155" s="118"/>
      <c r="S155" s="118"/>
      <c r="T155" s="119"/>
      <c r="U155" s="118"/>
      <c r="V155" s="118"/>
      <c r="W155" s="119"/>
      <c r="X155" s="118"/>
      <c r="Y155" s="118"/>
      <c r="Z155" s="119"/>
      <c r="AA155" s="118"/>
      <c r="AB155" s="118"/>
      <c r="AC155" s="119"/>
      <c r="AD155" s="120">
        <v>500000</v>
      </c>
      <c r="AE155" s="120">
        <v>170950</v>
      </c>
      <c r="AF155" s="119">
        <f t="shared" si="101"/>
        <v>0.34189999999999998</v>
      </c>
      <c r="AG155" s="120"/>
      <c r="AH155" s="120"/>
      <c r="AI155" s="122"/>
      <c r="AJ155" s="120"/>
      <c r="AK155" s="120"/>
      <c r="AL155" s="122"/>
      <c r="AM155" s="120"/>
      <c r="AN155" s="120"/>
      <c r="AO155" s="122"/>
    </row>
    <row r="156" spans="1:41" ht="18.75" x14ac:dyDescent="0.3">
      <c r="A156" s="140"/>
      <c r="B156" s="147" t="s">
        <v>100</v>
      </c>
      <c r="C156" s="142"/>
      <c r="D156" s="142"/>
      <c r="E156" s="143"/>
      <c r="F156" s="142"/>
      <c r="G156" s="142"/>
      <c r="H156" s="143"/>
      <c r="I156" s="142"/>
      <c r="J156" s="142"/>
      <c r="K156" s="143"/>
      <c r="L156" s="142"/>
      <c r="M156" s="142"/>
      <c r="N156" s="143"/>
      <c r="O156" s="142"/>
      <c r="P156" s="142"/>
      <c r="Q156" s="143"/>
      <c r="R156" s="142"/>
      <c r="S156" s="142"/>
      <c r="T156" s="143"/>
      <c r="U156" s="142"/>
      <c r="V156" s="142"/>
      <c r="W156" s="143"/>
      <c r="X156" s="142"/>
      <c r="Y156" s="142"/>
      <c r="Z156" s="143"/>
      <c r="AA156" s="142"/>
      <c r="AB156" s="142"/>
      <c r="AC156" s="143"/>
      <c r="AD156" s="144">
        <f>SUM(AD157:AD157)</f>
        <v>500000</v>
      </c>
      <c r="AE156" s="144">
        <f>SUM(AE157:AE157)</f>
        <v>340073.5</v>
      </c>
      <c r="AF156" s="145">
        <f t="shared" ref="AF156:AF157" si="104">AE156/AD156</f>
        <v>0.68014699999999995</v>
      </c>
      <c r="AG156" s="151"/>
      <c r="AH156" s="144"/>
      <c r="AI156" s="148"/>
      <c r="AJ156" s="144"/>
      <c r="AK156" s="144"/>
      <c r="AL156" s="148"/>
      <c r="AM156" s="144"/>
      <c r="AN156" s="144"/>
      <c r="AO156" s="148"/>
    </row>
    <row r="157" spans="1:41" s="121" customFormat="1" ht="18.75" hidden="1" x14ac:dyDescent="0.3">
      <c r="A157" s="116"/>
      <c r="B157" s="117" t="s">
        <v>8</v>
      </c>
      <c r="C157" s="118"/>
      <c r="D157" s="118"/>
      <c r="E157" s="119"/>
      <c r="F157" s="118"/>
      <c r="G157" s="118"/>
      <c r="H157" s="119"/>
      <c r="I157" s="118"/>
      <c r="J157" s="118"/>
      <c r="K157" s="119"/>
      <c r="L157" s="118"/>
      <c r="M157" s="118"/>
      <c r="N157" s="119"/>
      <c r="O157" s="118"/>
      <c r="P157" s="118"/>
      <c r="Q157" s="119"/>
      <c r="R157" s="118"/>
      <c r="S157" s="118"/>
      <c r="T157" s="119"/>
      <c r="U157" s="118"/>
      <c r="V157" s="118"/>
      <c r="W157" s="119"/>
      <c r="X157" s="118"/>
      <c r="Y157" s="118"/>
      <c r="Z157" s="119"/>
      <c r="AA157" s="118"/>
      <c r="AB157" s="118"/>
      <c r="AC157" s="119"/>
      <c r="AD157" s="120">
        <v>500000</v>
      </c>
      <c r="AE157" s="120">
        <v>340073.5</v>
      </c>
      <c r="AF157" s="119">
        <f t="shared" si="104"/>
        <v>0.68014699999999995</v>
      </c>
      <c r="AG157" s="120"/>
      <c r="AH157" s="120"/>
      <c r="AI157" s="122"/>
      <c r="AJ157" s="120"/>
      <c r="AK157" s="120"/>
      <c r="AL157" s="122"/>
      <c r="AM157" s="120"/>
      <c r="AN157" s="120"/>
      <c r="AO157" s="122"/>
    </row>
    <row r="158" spans="1:41" ht="38.25" x14ac:dyDescent="0.3">
      <c r="A158" s="140"/>
      <c r="B158" s="152" t="s">
        <v>97</v>
      </c>
      <c r="C158" s="142"/>
      <c r="D158" s="142"/>
      <c r="E158" s="143"/>
      <c r="F158" s="142"/>
      <c r="G158" s="142"/>
      <c r="H158" s="143"/>
      <c r="I158" s="142"/>
      <c r="J158" s="142"/>
      <c r="K158" s="143"/>
      <c r="L158" s="142"/>
      <c r="M158" s="142"/>
      <c r="N158" s="143"/>
      <c r="O158" s="142"/>
      <c r="P158" s="142"/>
      <c r="Q158" s="143"/>
      <c r="R158" s="142"/>
      <c r="S158" s="142"/>
      <c r="T158" s="143"/>
      <c r="U158" s="142"/>
      <c r="V158" s="142"/>
      <c r="W158" s="143"/>
      <c r="X158" s="142"/>
      <c r="Y158" s="142"/>
      <c r="Z158" s="143"/>
      <c r="AA158" s="142"/>
      <c r="AB158" s="142"/>
      <c r="AC158" s="143"/>
      <c r="AD158" s="144">
        <f>SUM(AD159:AD160)</f>
        <v>18100000</v>
      </c>
      <c r="AE158" s="144">
        <f>SUM(AE159:AE160)</f>
        <v>0</v>
      </c>
      <c r="AF158" s="145">
        <f t="shared" ref="AF158:AF160" si="105">AE158/AD158</f>
        <v>0</v>
      </c>
      <c r="AG158" s="151"/>
      <c r="AH158" s="144"/>
      <c r="AI158" s="148"/>
      <c r="AJ158" s="144"/>
      <c r="AK158" s="144"/>
      <c r="AL158" s="148"/>
      <c r="AM158" s="144"/>
      <c r="AN158" s="144"/>
      <c r="AO158" s="148"/>
    </row>
    <row r="159" spans="1:41" s="121" customFormat="1" ht="18.75" hidden="1" x14ac:dyDescent="0.3">
      <c r="A159" s="116"/>
      <c r="B159" s="117" t="s">
        <v>8</v>
      </c>
      <c r="C159" s="118"/>
      <c r="D159" s="118"/>
      <c r="E159" s="119"/>
      <c r="F159" s="118"/>
      <c r="G159" s="118"/>
      <c r="H159" s="119"/>
      <c r="I159" s="118"/>
      <c r="J159" s="118"/>
      <c r="K159" s="119"/>
      <c r="L159" s="118"/>
      <c r="M159" s="118"/>
      <c r="N159" s="119"/>
      <c r="O159" s="118"/>
      <c r="P159" s="118"/>
      <c r="Q159" s="119"/>
      <c r="R159" s="118"/>
      <c r="S159" s="118"/>
      <c r="T159" s="119"/>
      <c r="U159" s="118"/>
      <c r="V159" s="118"/>
      <c r="W159" s="119"/>
      <c r="X159" s="118"/>
      <c r="Y159" s="118"/>
      <c r="Z159" s="119"/>
      <c r="AA159" s="118"/>
      <c r="AB159" s="118"/>
      <c r="AC159" s="119"/>
      <c r="AD159" s="120">
        <v>7000000</v>
      </c>
      <c r="AE159" s="120">
        <v>0</v>
      </c>
      <c r="AF159" s="119">
        <f t="shared" si="105"/>
        <v>0</v>
      </c>
      <c r="AG159" s="120"/>
      <c r="AH159" s="120"/>
      <c r="AI159" s="122"/>
      <c r="AJ159" s="120"/>
      <c r="AK159" s="120"/>
      <c r="AL159" s="122"/>
      <c r="AM159" s="120"/>
      <c r="AN159" s="120"/>
      <c r="AO159" s="122"/>
    </row>
    <row r="160" spans="1:41" s="121" customFormat="1" ht="18.75" hidden="1" x14ac:dyDescent="0.3">
      <c r="A160" s="116"/>
      <c r="B160" s="117" t="s">
        <v>42</v>
      </c>
      <c r="C160" s="118"/>
      <c r="D160" s="118"/>
      <c r="E160" s="119"/>
      <c r="F160" s="118"/>
      <c r="G160" s="118"/>
      <c r="H160" s="119"/>
      <c r="I160" s="118"/>
      <c r="J160" s="118"/>
      <c r="K160" s="119"/>
      <c r="L160" s="118"/>
      <c r="M160" s="118"/>
      <c r="N160" s="119"/>
      <c r="O160" s="118"/>
      <c r="P160" s="118"/>
      <c r="Q160" s="119"/>
      <c r="R160" s="118"/>
      <c r="S160" s="118"/>
      <c r="T160" s="119"/>
      <c r="U160" s="118"/>
      <c r="V160" s="118"/>
      <c r="W160" s="119"/>
      <c r="X160" s="118"/>
      <c r="Y160" s="118"/>
      <c r="Z160" s="119"/>
      <c r="AA160" s="118"/>
      <c r="AB160" s="118"/>
      <c r="AC160" s="119"/>
      <c r="AD160" s="120">
        <v>11100000</v>
      </c>
      <c r="AE160" s="120">
        <v>0</v>
      </c>
      <c r="AF160" s="119">
        <f t="shared" si="105"/>
        <v>0</v>
      </c>
      <c r="AG160" s="120"/>
      <c r="AH160" s="120"/>
      <c r="AI160" s="122"/>
      <c r="AJ160" s="120"/>
      <c r="AK160" s="120"/>
      <c r="AL160" s="122"/>
      <c r="AM160" s="120"/>
      <c r="AN160" s="120"/>
      <c r="AO160" s="122"/>
    </row>
    <row r="161" spans="1:41" ht="27" x14ac:dyDescent="0.3">
      <c r="A161" s="32"/>
      <c r="B161" s="110" t="s">
        <v>73</v>
      </c>
      <c r="C161" s="14"/>
      <c r="D161" s="14"/>
      <c r="E161" s="16"/>
      <c r="F161" s="14"/>
      <c r="G161" s="14"/>
      <c r="H161" s="16"/>
      <c r="I161" s="14"/>
      <c r="J161" s="14"/>
      <c r="K161" s="16"/>
      <c r="L161" s="14"/>
      <c r="M161" s="14"/>
      <c r="N161" s="16"/>
      <c r="O161" s="14"/>
      <c r="P161" s="14"/>
      <c r="Q161" s="16"/>
      <c r="R161" s="14"/>
      <c r="S161" s="14"/>
      <c r="T161" s="16"/>
      <c r="U161" s="14"/>
      <c r="V161" s="14"/>
      <c r="W161" s="16"/>
      <c r="X161" s="14"/>
      <c r="Y161" s="14"/>
      <c r="Z161" s="16"/>
      <c r="AA161" s="14"/>
      <c r="AB161" s="14"/>
      <c r="AC161" s="16"/>
      <c r="AD161" s="112"/>
      <c r="AE161" s="112"/>
      <c r="AF161" s="16"/>
      <c r="AG161" s="114">
        <v>3000000</v>
      </c>
      <c r="AH161" s="112">
        <v>1719352.83</v>
      </c>
      <c r="AI161" s="113">
        <f t="shared" ref="AI161" si="106">AH161/AG161</f>
        <v>0.57311761000000006</v>
      </c>
      <c r="AJ161" s="112"/>
      <c r="AK161" s="112"/>
      <c r="AL161" s="113"/>
      <c r="AM161" s="112"/>
      <c r="AN161" s="112"/>
      <c r="AO161" s="113"/>
    </row>
    <row r="162" spans="1:41" ht="27" x14ac:dyDescent="0.3">
      <c r="A162" s="140"/>
      <c r="B162" s="147" t="s">
        <v>66</v>
      </c>
      <c r="C162" s="142"/>
      <c r="D162" s="142"/>
      <c r="E162" s="143"/>
      <c r="F162" s="142"/>
      <c r="G162" s="142"/>
      <c r="H162" s="143"/>
      <c r="I162" s="142"/>
      <c r="J162" s="142"/>
      <c r="K162" s="143"/>
      <c r="L162" s="142"/>
      <c r="M162" s="142"/>
      <c r="N162" s="143"/>
      <c r="O162" s="142"/>
      <c r="P162" s="142"/>
      <c r="Q162" s="143"/>
      <c r="R162" s="142"/>
      <c r="S162" s="142"/>
      <c r="T162" s="143"/>
      <c r="U162" s="142"/>
      <c r="V162" s="142"/>
      <c r="W162" s="143"/>
      <c r="X162" s="142"/>
      <c r="Y162" s="142"/>
      <c r="Z162" s="143"/>
      <c r="AA162" s="142"/>
      <c r="AB162" s="142"/>
      <c r="AC162" s="143"/>
      <c r="AD162" s="144"/>
      <c r="AE162" s="144"/>
      <c r="AF162" s="143"/>
      <c r="AG162" s="151"/>
      <c r="AH162" s="144"/>
      <c r="AI162" s="148"/>
      <c r="AJ162" s="144">
        <v>329000</v>
      </c>
      <c r="AK162" s="144">
        <v>306190.01</v>
      </c>
      <c r="AL162" s="148">
        <f t="shared" ref="AL162:AL168" si="107">AK162/AJ162</f>
        <v>0.93066872340425533</v>
      </c>
      <c r="AM162" s="144">
        <v>0</v>
      </c>
      <c r="AN162" s="144">
        <f t="shared" ref="AN162:AN167" si="108">AM162</f>
        <v>0</v>
      </c>
      <c r="AO162" s="148"/>
    </row>
    <row r="163" spans="1:41" ht="25.5" x14ac:dyDescent="0.3">
      <c r="A163" s="32"/>
      <c r="B163" s="111" t="s">
        <v>67</v>
      </c>
      <c r="C163" s="14"/>
      <c r="D163" s="14"/>
      <c r="E163" s="16"/>
      <c r="F163" s="14"/>
      <c r="G163" s="14"/>
      <c r="H163" s="16"/>
      <c r="I163" s="14"/>
      <c r="J163" s="14"/>
      <c r="K163" s="16"/>
      <c r="L163" s="14"/>
      <c r="M163" s="14"/>
      <c r="N163" s="16"/>
      <c r="O163" s="14"/>
      <c r="P163" s="14"/>
      <c r="Q163" s="16"/>
      <c r="R163" s="14"/>
      <c r="S163" s="14"/>
      <c r="T163" s="16"/>
      <c r="U163" s="14"/>
      <c r="V163" s="14"/>
      <c r="W163" s="16"/>
      <c r="X163" s="14"/>
      <c r="Y163" s="14"/>
      <c r="Z163" s="16"/>
      <c r="AA163" s="14"/>
      <c r="AB163" s="14"/>
      <c r="AC163" s="16"/>
      <c r="AD163" s="112"/>
      <c r="AE163" s="112"/>
      <c r="AF163" s="16"/>
      <c r="AG163" s="114"/>
      <c r="AH163" s="112"/>
      <c r="AI163" s="113"/>
      <c r="AJ163" s="112">
        <v>345000</v>
      </c>
      <c r="AK163" s="112">
        <v>343545.36</v>
      </c>
      <c r="AL163" s="113">
        <f t="shared" si="107"/>
        <v>0.99578365217391296</v>
      </c>
      <c r="AM163" s="112">
        <v>0</v>
      </c>
      <c r="AN163" s="112">
        <f t="shared" si="108"/>
        <v>0</v>
      </c>
      <c r="AO163" s="113"/>
    </row>
    <row r="164" spans="1:41" ht="27" x14ac:dyDescent="0.3">
      <c r="A164" s="140"/>
      <c r="B164" s="147" t="s">
        <v>68</v>
      </c>
      <c r="C164" s="142"/>
      <c r="D164" s="142"/>
      <c r="E164" s="143"/>
      <c r="F164" s="142"/>
      <c r="G164" s="142"/>
      <c r="H164" s="143"/>
      <c r="I164" s="142"/>
      <c r="J164" s="142"/>
      <c r="K164" s="143"/>
      <c r="L164" s="142"/>
      <c r="M164" s="142"/>
      <c r="N164" s="143"/>
      <c r="O164" s="142"/>
      <c r="P164" s="142"/>
      <c r="Q164" s="143"/>
      <c r="R164" s="142"/>
      <c r="S164" s="142"/>
      <c r="T164" s="143"/>
      <c r="U164" s="142"/>
      <c r="V164" s="142"/>
      <c r="W164" s="143"/>
      <c r="X164" s="142"/>
      <c r="Y164" s="142"/>
      <c r="Z164" s="143"/>
      <c r="AA164" s="142"/>
      <c r="AB164" s="142"/>
      <c r="AC164" s="143"/>
      <c r="AD164" s="144">
        <v>2000000</v>
      </c>
      <c r="AE164" s="144">
        <v>0</v>
      </c>
      <c r="AF164" s="148">
        <f t="shared" ref="AF164" si="109">AE164/AD164</f>
        <v>0</v>
      </c>
      <c r="AG164" s="151">
        <v>2000000</v>
      </c>
      <c r="AH164" s="144">
        <v>22900</v>
      </c>
      <c r="AI164" s="148">
        <f t="shared" ref="AI164" si="110">AH164/AG164</f>
        <v>1.145E-2</v>
      </c>
      <c r="AJ164" s="144">
        <v>2000000</v>
      </c>
      <c r="AK164" s="144">
        <v>1136432.8700000001</v>
      </c>
      <c r="AL164" s="148">
        <f t="shared" si="107"/>
        <v>0.56821643500000008</v>
      </c>
      <c r="AM164" s="144">
        <v>0</v>
      </c>
      <c r="AN164" s="144">
        <f t="shared" si="108"/>
        <v>0</v>
      </c>
      <c r="AO164" s="148"/>
    </row>
    <row r="165" spans="1:41" ht="39.75" x14ac:dyDescent="0.3">
      <c r="A165" s="32"/>
      <c r="B165" s="110" t="s">
        <v>70</v>
      </c>
      <c r="C165" s="14"/>
      <c r="D165" s="14"/>
      <c r="E165" s="16"/>
      <c r="F165" s="14"/>
      <c r="G165" s="14"/>
      <c r="H165" s="16"/>
      <c r="I165" s="14"/>
      <c r="J165" s="14"/>
      <c r="K165" s="16"/>
      <c r="L165" s="14"/>
      <c r="M165" s="14"/>
      <c r="N165" s="16"/>
      <c r="O165" s="14"/>
      <c r="P165" s="14"/>
      <c r="Q165" s="16"/>
      <c r="R165" s="14"/>
      <c r="S165" s="14"/>
      <c r="T165" s="16"/>
      <c r="U165" s="14"/>
      <c r="V165" s="14"/>
      <c r="W165" s="16"/>
      <c r="X165" s="14"/>
      <c r="Y165" s="14"/>
      <c r="Z165" s="16"/>
      <c r="AA165" s="14"/>
      <c r="AB165" s="14"/>
      <c r="AC165" s="16"/>
      <c r="AD165" s="112"/>
      <c r="AE165" s="112"/>
      <c r="AF165" s="16"/>
      <c r="AG165" s="114"/>
      <c r="AH165" s="112"/>
      <c r="AI165" s="113"/>
      <c r="AJ165" s="112">
        <v>558000</v>
      </c>
      <c r="AK165" s="112">
        <v>526593.11</v>
      </c>
      <c r="AL165" s="113">
        <f t="shared" si="107"/>
        <v>0.94371525089605734</v>
      </c>
      <c r="AM165" s="112">
        <v>0</v>
      </c>
      <c r="AN165" s="112">
        <f t="shared" si="108"/>
        <v>0</v>
      </c>
      <c r="AO165" s="113"/>
    </row>
    <row r="166" spans="1:41" ht="39.75" x14ac:dyDescent="0.3">
      <c r="A166" s="140"/>
      <c r="B166" s="147" t="s">
        <v>71</v>
      </c>
      <c r="C166" s="142"/>
      <c r="D166" s="142"/>
      <c r="E166" s="143"/>
      <c r="F166" s="142"/>
      <c r="G166" s="142"/>
      <c r="H166" s="143"/>
      <c r="I166" s="142"/>
      <c r="J166" s="142"/>
      <c r="K166" s="143"/>
      <c r="L166" s="142"/>
      <c r="M166" s="142"/>
      <c r="N166" s="143"/>
      <c r="O166" s="142"/>
      <c r="P166" s="142"/>
      <c r="Q166" s="143"/>
      <c r="R166" s="142"/>
      <c r="S166" s="142"/>
      <c r="T166" s="143"/>
      <c r="U166" s="142"/>
      <c r="V166" s="142"/>
      <c r="W166" s="143"/>
      <c r="X166" s="142"/>
      <c r="Y166" s="142"/>
      <c r="Z166" s="143"/>
      <c r="AA166" s="142"/>
      <c r="AB166" s="142"/>
      <c r="AC166" s="143"/>
      <c r="AD166" s="144"/>
      <c r="AE166" s="144"/>
      <c r="AF166" s="143"/>
      <c r="AG166" s="151"/>
      <c r="AH166" s="144"/>
      <c r="AI166" s="148"/>
      <c r="AJ166" s="144">
        <v>1613000</v>
      </c>
      <c r="AK166" s="144">
        <v>1238784.32</v>
      </c>
      <c r="AL166" s="148">
        <f t="shared" si="107"/>
        <v>0.76800019838809674</v>
      </c>
      <c r="AM166" s="144">
        <v>0</v>
      </c>
      <c r="AN166" s="144">
        <f t="shared" si="108"/>
        <v>0</v>
      </c>
      <c r="AO166" s="148"/>
    </row>
    <row r="167" spans="1:41" ht="39.75" x14ac:dyDescent="0.3">
      <c r="A167" s="32"/>
      <c r="B167" s="110" t="s">
        <v>72</v>
      </c>
      <c r="C167" s="14"/>
      <c r="D167" s="14"/>
      <c r="E167" s="16"/>
      <c r="F167" s="14"/>
      <c r="G167" s="14"/>
      <c r="H167" s="16"/>
      <c r="I167" s="14"/>
      <c r="J167" s="14"/>
      <c r="K167" s="16"/>
      <c r="L167" s="14"/>
      <c r="M167" s="14"/>
      <c r="N167" s="16"/>
      <c r="O167" s="14"/>
      <c r="P167" s="14"/>
      <c r="Q167" s="16"/>
      <c r="R167" s="14"/>
      <c r="S167" s="14"/>
      <c r="T167" s="16"/>
      <c r="U167" s="14"/>
      <c r="V167" s="14"/>
      <c r="W167" s="16"/>
      <c r="X167" s="14"/>
      <c r="Y167" s="14"/>
      <c r="Z167" s="16"/>
      <c r="AA167" s="14"/>
      <c r="AB167" s="14"/>
      <c r="AC167" s="16"/>
      <c r="AD167" s="112"/>
      <c r="AE167" s="112"/>
      <c r="AF167" s="16"/>
      <c r="AG167" s="114"/>
      <c r="AH167" s="112"/>
      <c r="AI167" s="113"/>
      <c r="AJ167" s="112">
        <v>1970000</v>
      </c>
      <c r="AK167" s="112">
        <v>1599174.99</v>
      </c>
      <c r="AL167" s="113">
        <f t="shared" si="107"/>
        <v>0.81176395431472081</v>
      </c>
      <c r="AM167" s="112">
        <v>0</v>
      </c>
      <c r="AN167" s="112">
        <f t="shared" si="108"/>
        <v>0</v>
      </c>
      <c r="AO167" s="113"/>
    </row>
    <row r="168" spans="1:41" ht="18.75" x14ac:dyDescent="0.3">
      <c r="A168" s="140"/>
      <c r="B168" s="149" t="s">
        <v>61</v>
      </c>
      <c r="C168" s="142"/>
      <c r="D168" s="142"/>
      <c r="E168" s="143"/>
      <c r="F168" s="142"/>
      <c r="G168" s="142"/>
      <c r="H168" s="143"/>
      <c r="I168" s="142"/>
      <c r="J168" s="142"/>
      <c r="K168" s="143"/>
      <c r="L168" s="142"/>
      <c r="M168" s="142"/>
      <c r="N168" s="143"/>
      <c r="O168" s="142"/>
      <c r="P168" s="142"/>
      <c r="Q168" s="143"/>
      <c r="R168" s="142"/>
      <c r="S168" s="142"/>
      <c r="T168" s="143"/>
      <c r="U168" s="142"/>
      <c r="V168" s="142"/>
      <c r="W168" s="143"/>
      <c r="X168" s="142"/>
      <c r="Y168" s="142"/>
      <c r="Z168" s="143"/>
      <c r="AA168" s="142"/>
      <c r="AB168" s="142"/>
      <c r="AC168" s="143"/>
      <c r="AD168" s="144"/>
      <c r="AE168" s="144"/>
      <c r="AF168" s="143"/>
      <c r="AG168" s="151">
        <v>1297500</v>
      </c>
      <c r="AH168" s="144">
        <v>1297500</v>
      </c>
      <c r="AI168" s="148">
        <f t="shared" ref="AI168" si="111">AH168/AG168</f>
        <v>1</v>
      </c>
      <c r="AJ168" s="144">
        <v>1000000</v>
      </c>
      <c r="AK168" s="144">
        <v>877500</v>
      </c>
      <c r="AL168" s="148">
        <f t="shared" si="107"/>
        <v>0.87749999999999995</v>
      </c>
      <c r="AM168" s="144">
        <v>1000000</v>
      </c>
      <c r="AN168" s="144">
        <v>975000</v>
      </c>
      <c r="AO168" s="148">
        <f t="shared" ref="AO168:AO172" si="112">AN168/AM168</f>
        <v>0.97499999999999998</v>
      </c>
    </row>
    <row r="169" spans="1:41" ht="25.5" x14ac:dyDescent="0.3">
      <c r="A169" s="32"/>
      <c r="B169" s="111" t="s">
        <v>62</v>
      </c>
      <c r="C169" s="14"/>
      <c r="D169" s="14"/>
      <c r="E169" s="16"/>
      <c r="F169" s="14"/>
      <c r="G169" s="14"/>
      <c r="H169" s="16"/>
      <c r="I169" s="14"/>
      <c r="J169" s="14"/>
      <c r="K169" s="16"/>
      <c r="L169" s="14"/>
      <c r="M169" s="14"/>
      <c r="N169" s="16"/>
      <c r="O169" s="14"/>
      <c r="P169" s="14"/>
      <c r="Q169" s="16"/>
      <c r="R169" s="14"/>
      <c r="S169" s="14"/>
      <c r="T169" s="16"/>
      <c r="U169" s="14"/>
      <c r="V169" s="14"/>
      <c r="W169" s="16"/>
      <c r="X169" s="14"/>
      <c r="Y169" s="14"/>
      <c r="Z169" s="16"/>
      <c r="AA169" s="14"/>
      <c r="AB169" s="14"/>
      <c r="AC169" s="16"/>
      <c r="AD169" s="112"/>
      <c r="AE169" s="112"/>
      <c r="AF169" s="16"/>
      <c r="AG169" s="114"/>
      <c r="AH169" s="112"/>
      <c r="AI169" s="113"/>
      <c r="AJ169" s="112"/>
      <c r="AK169" s="112"/>
      <c r="AL169" s="113"/>
      <c r="AM169" s="112">
        <v>10934000</v>
      </c>
      <c r="AN169" s="112">
        <v>9652755.0500000007</v>
      </c>
      <c r="AO169" s="113">
        <f t="shared" si="112"/>
        <v>0.88282010700567048</v>
      </c>
    </row>
    <row r="170" spans="1:41" ht="37.5" x14ac:dyDescent="0.3">
      <c r="A170" s="160"/>
      <c r="B170" s="161" t="s">
        <v>63</v>
      </c>
      <c r="C170" s="162"/>
      <c r="D170" s="162"/>
      <c r="E170" s="163"/>
      <c r="F170" s="162"/>
      <c r="G170" s="162"/>
      <c r="H170" s="163"/>
      <c r="I170" s="162"/>
      <c r="J170" s="162"/>
      <c r="K170" s="163"/>
      <c r="L170" s="162"/>
      <c r="M170" s="162"/>
      <c r="N170" s="163"/>
      <c r="O170" s="162"/>
      <c r="P170" s="162"/>
      <c r="Q170" s="163"/>
      <c r="R170" s="162"/>
      <c r="S170" s="162"/>
      <c r="T170" s="163"/>
      <c r="U170" s="162"/>
      <c r="V170" s="162"/>
      <c r="W170" s="163"/>
      <c r="X170" s="162"/>
      <c r="Y170" s="162"/>
      <c r="Z170" s="163"/>
      <c r="AA170" s="162"/>
      <c r="AB170" s="162"/>
      <c r="AC170" s="163"/>
      <c r="AD170" s="164"/>
      <c r="AE170" s="164"/>
      <c r="AF170" s="163"/>
      <c r="AG170" s="165"/>
      <c r="AH170" s="164"/>
      <c r="AI170" s="166"/>
      <c r="AJ170" s="164"/>
      <c r="AK170" s="164"/>
      <c r="AL170" s="166"/>
      <c r="AM170" s="164">
        <v>846000</v>
      </c>
      <c r="AN170" s="164">
        <v>824298.01</v>
      </c>
      <c r="AO170" s="166">
        <f t="shared" si="112"/>
        <v>0.97434752955082748</v>
      </c>
    </row>
    <row r="171" spans="1:41" ht="37.5" x14ac:dyDescent="0.3">
      <c r="A171" s="32"/>
      <c r="B171" s="111" t="s">
        <v>64</v>
      </c>
      <c r="C171" s="14"/>
      <c r="D171" s="14"/>
      <c r="E171" s="16"/>
      <c r="F171" s="14"/>
      <c r="G171" s="14"/>
      <c r="H171" s="16"/>
      <c r="I171" s="14"/>
      <c r="J171" s="14"/>
      <c r="K171" s="16"/>
      <c r="L171" s="14"/>
      <c r="M171" s="14"/>
      <c r="N171" s="16"/>
      <c r="O171" s="14"/>
      <c r="P171" s="14"/>
      <c r="Q171" s="16"/>
      <c r="R171" s="14"/>
      <c r="S171" s="14"/>
      <c r="T171" s="16"/>
      <c r="U171" s="14"/>
      <c r="V171" s="14"/>
      <c r="W171" s="16"/>
      <c r="X171" s="14"/>
      <c r="Y171" s="14"/>
      <c r="Z171" s="16"/>
      <c r="AA171" s="14"/>
      <c r="AB171" s="14"/>
      <c r="AC171" s="16"/>
      <c r="AD171" s="112"/>
      <c r="AE171" s="112"/>
      <c r="AF171" s="16"/>
      <c r="AG171" s="114"/>
      <c r="AH171" s="112"/>
      <c r="AI171" s="113"/>
      <c r="AJ171" s="112"/>
      <c r="AK171" s="112"/>
      <c r="AL171" s="113"/>
      <c r="AM171" s="112">
        <v>2928000</v>
      </c>
      <c r="AN171" s="112">
        <v>2658869.4700000002</v>
      </c>
      <c r="AO171" s="113">
        <f t="shared" si="112"/>
        <v>0.90808383538251369</v>
      </c>
    </row>
    <row r="172" spans="1:41" ht="37.5" x14ac:dyDescent="0.3">
      <c r="A172" s="140"/>
      <c r="B172" s="149" t="s">
        <v>65</v>
      </c>
      <c r="C172" s="142"/>
      <c r="D172" s="142"/>
      <c r="E172" s="143"/>
      <c r="F172" s="142"/>
      <c r="G172" s="142"/>
      <c r="H172" s="143"/>
      <c r="I172" s="142"/>
      <c r="J172" s="142"/>
      <c r="K172" s="143"/>
      <c r="L172" s="142"/>
      <c r="M172" s="142"/>
      <c r="N172" s="143"/>
      <c r="O172" s="142"/>
      <c r="P172" s="142"/>
      <c r="Q172" s="143"/>
      <c r="R172" s="142"/>
      <c r="S172" s="142"/>
      <c r="T172" s="143"/>
      <c r="U172" s="142"/>
      <c r="V172" s="142"/>
      <c r="W172" s="143"/>
      <c r="X172" s="142"/>
      <c r="Y172" s="142"/>
      <c r="Z172" s="143"/>
      <c r="AA172" s="142"/>
      <c r="AB172" s="142"/>
      <c r="AC172" s="143"/>
      <c r="AD172" s="144"/>
      <c r="AE172" s="144"/>
      <c r="AF172" s="143"/>
      <c r="AG172" s="151"/>
      <c r="AH172" s="144"/>
      <c r="AI172" s="148"/>
      <c r="AJ172" s="144"/>
      <c r="AK172" s="144"/>
      <c r="AL172" s="148"/>
      <c r="AM172" s="144">
        <v>771000</v>
      </c>
      <c r="AN172" s="144">
        <v>552487.06000000006</v>
      </c>
      <c r="AO172" s="148">
        <f t="shared" si="112"/>
        <v>0.7165850324254216</v>
      </c>
    </row>
    <row r="173" spans="1:41" ht="18.75" x14ac:dyDescent="0.3">
      <c r="A173" s="32"/>
      <c r="B173" s="33" t="s">
        <v>47</v>
      </c>
      <c r="C173" s="14"/>
      <c r="D173" s="14"/>
      <c r="E173" s="16"/>
      <c r="F173" s="14"/>
      <c r="G173" s="14"/>
      <c r="H173" s="16"/>
      <c r="I173" s="14"/>
      <c r="J173" s="14"/>
      <c r="K173" s="16"/>
      <c r="L173" s="14">
        <v>2000000</v>
      </c>
      <c r="M173" s="14">
        <v>1178933.25</v>
      </c>
      <c r="N173" s="16">
        <f t="shared" ref="N173:N203" si="113">M173/L173</f>
        <v>0.58946662500000002</v>
      </c>
      <c r="O173" s="14"/>
      <c r="P173" s="14"/>
      <c r="Q173" s="16"/>
      <c r="R173" s="14"/>
      <c r="S173" s="14"/>
      <c r="T173" s="16"/>
      <c r="U173" s="14"/>
      <c r="V173" s="14"/>
      <c r="W173" s="16"/>
      <c r="X173" s="14"/>
      <c r="Y173" s="14"/>
      <c r="Z173" s="16"/>
      <c r="AA173" s="14"/>
      <c r="AB173" s="14"/>
      <c r="AC173" s="16"/>
      <c r="AD173" s="112"/>
      <c r="AE173" s="112"/>
      <c r="AF173" s="16"/>
      <c r="AG173" s="114"/>
      <c r="AH173" s="112"/>
      <c r="AI173" s="113"/>
      <c r="AJ173" s="112"/>
      <c r="AK173" s="112"/>
      <c r="AL173" s="113"/>
      <c r="AM173" s="112"/>
      <c r="AN173" s="112"/>
      <c r="AO173" s="113"/>
    </row>
    <row r="174" spans="1:41" ht="27" x14ac:dyDescent="0.3">
      <c r="A174" s="140"/>
      <c r="B174" s="147" t="s">
        <v>74</v>
      </c>
      <c r="C174" s="142"/>
      <c r="D174" s="142"/>
      <c r="E174" s="143"/>
      <c r="F174" s="142"/>
      <c r="G174" s="142"/>
      <c r="H174" s="143"/>
      <c r="I174" s="142"/>
      <c r="J174" s="142"/>
      <c r="K174" s="143"/>
      <c r="L174" s="142"/>
      <c r="M174" s="142"/>
      <c r="N174" s="143"/>
      <c r="O174" s="142"/>
      <c r="P174" s="142"/>
      <c r="Q174" s="143"/>
      <c r="R174" s="142"/>
      <c r="S174" s="142"/>
      <c r="T174" s="143"/>
      <c r="U174" s="142"/>
      <c r="V174" s="142"/>
      <c r="W174" s="143"/>
      <c r="X174" s="142"/>
      <c r="Y174" s="142"/>
      <c r="Z174" s="143"/>
      <c r="AA174" s="142"/>
      <c r="AB174" s="142"/>
      <c r="AC174" s="143"/>
      <c r="AD174" s="144"/>
      <c r="AE174" s="144"/>
      <c r="AF174" s="143"/>
      <c r="AG174" s="151">
        <v>25000000</v>
      </c>
      <c r="AH174" s="144">
        <v>24959116.059999999</v>
      </c>
      <c r="AI174" s="148">
        <f t="shared" ref="AI174" si="114">AH174/AG174</f>
        <v>0.99836464239999989</v>
      </c>
      <c r="AJ174" s="144"/>
      <c r="AK174" s="144"/>
      <c r="AL174" s="148"/>
      <c r="AM174" s="144"/>
      <c r="AN174" s="144"/>
      <c r="AO174" s="148"/>
    </row>
    <row r="175" spans="1:41" ht="27" x14ac:dyDescent="0.3">
      <c r="A175" s="32"/>
      <c r="B175" s="110" t="s">
        <v>69</v>
      </c>
      <c r="C175" s="14"/>
      <c r="D175" s="14"/>
      <c r="E175" s="16"/>
      <c r="F175" s="14"/>
      <c r="G175" s="14"/>
      <c r="H175" s="16"/>
      <c r="I175" s="14"/>
      <c r="J175" s="14"/>
      <c r="K175" s="16"/>
      <c r="L175" s="14"/>
      <c r="M175" s="14"/>
      <c r="N175" s="16"/>
      <c r="O175" s="14"/>
      <c r="P175" s="14"/>
      <c r="Q175" s="16"/>
      <c r="R175" s="14"/>
      <c r="S175" s="14"/>
      <c r="T175" s="16"/>
      <c r="U175" s="14"/>
      <c r="V175" s="14"/>
      <c r="W175" s="16"/>
      <c r="X175" s="14"/>
      <c r="Y175" s="14"/>
      <c r="Z175" s="16"/>
      <c r="AA175" s="14"/>
      <c r="AB175" s="14"/>
      <c r="AC175" s="16"/>
      <c r="AD175" s="112"/>
      <c r="AE175" s="112"/>
      <c r="AF175" s="16"/>
      <c r="AG175" s="114"/>
      <c r="AH175" s="112"/>
      <c r="AI175" s="113"/>
      <c r="AJ175" s="112">
        <v>20000000</v>
      </c>
      <c r="AK175" s="112">
        <v>19695218</v>
      </c>
      <c r="AL175" s="113">
        <f t="shared" ref="AL175" si="115">AK175/AJ175</f>
        <v>0.98476090000000005</v>
      </c>
      <c r="AM175" s="112"/>
      <c r="AN175" s="112"/>
      <c r="AO175" s="113"/>
    </row>
    <row r="176" spans="1:41" ht="27" x14ac:dyDescent="0.3">
      <c r="A176" s="140"/>
      <c r="B176" s="147" t="s">
        <v>60</v>
      </c>
      <c r="C176" s="142"/>
      <c r="D176" s="142"/>
      <c r="E176" s="143"/>
      <c r="F176" s="142"/>
      <c r="G176" s="142"/>
      <c r="H176" s="143"/>
      <c r="I176" s="142"/>
      <c r="J176" s="142"/>
      <c r="K176" s="143"/>
      <c r="L176" s="142"/>
      <c r="M176" s="142"/>
      <c r="N176" s="143"/>
      <c r="O176" s="142"/>
      <c r="P176" s="142"/>
      <c r="Q176" s="143"/>
      <c r="R176" s="142"/>
      <c r="S176" s="142"/>
      <c r="T176" s="143"/>
      <c r="U176" s="142"/>
      <c r="V176" s="142"/>
      <c r="W176" s="143"/>
      <c r="X176" s="142"/>
      <c r="Y176" s="142"/>
      <c r="Z176" s="143"/>
      <c r="AA176" s="142"/>
      <c r="AB176" s="142"/>
      <c r="AC176" s="143"/>
      <c r="AD176" s="144"/>
      <c r="AE176" s="144"/>
      <c r="AF176" s="143"/>
      <c r="AG176" s="151"/>
      <c r="AH176" s="144"/>
      <c r="AI176" s="148"/>
      <c r="AJ176" s="144"/>
      <c r="AK176" s="144"/>
      <c r="AL176" s="148"/>
      <c r="AM176" s="144">
        <v>340000000</v>
      </c>
      <c r="AN176" s="144">
        <v>331437029.25</v>
      </c>
      <c r="AO176" s="148">
        <f>AN176/AM176</f>
        <v>0.97481479191176468</v>
      </c>
    </row>
    <row r="177" spans="1:41" ht="18.75" hidden="1" x14ac:dyDescent="0.3">
      <c r="A177" s="32"/>
      <c r="B177" s="54" t="s">
        <v>26</v>
      </c>
      <c r="C177" s="14"/>
      <c r="D177" s="14"/>
      <c r="E177" s="16"/>
      <c r="F177" s="14"/>
      <c r="G177" s="14"/>
      <c r="H177" s="16"/>
      <c r="I177" s="14"/>
      <c r="J177" s="14"/>
      <c r="K177" s="16"/>
      <c r="L177" s="14"/>
      <c r="M177" s="14"/>
      <c r="N177" s="16"/>
      <c r="O177" s="14">
        <f>500000+302400+916149-O191</f>
        <v>500000</v>
      </c>
      <c r="P177" s="14">
        <f>799223+908570-P191</f>
        <v>499955</v>
      </c>
      <c r="Q177" s="16">
        <f t="shared" ref="Q177:Q203" si="116">P177/O177</f>
        <v>0.99990999999999997</v>
      </c>
      <c r="R177" s="14">
        <f>5000000-R191</f>
        <v>2500000</v>
      </c>
      <c r="S177" s="14">
        <f>2494012.67+2495224-S191</f>
        <v>2494012.67</v>
      </c>
      <c r="T177" s="16">
        <f>S177/R177</f>
        <v>0.99760506799999993</v>
      </c>
      <c r="U177" s="14"/>
      <c r="V177" s="14">
        <f>U177</f>
        <v>0</v>
      </c>
      <c r="W177" s="16"/>
      <c r="X177" s="14"/>
      <c r="Y177" s="14">
        <f>X177</f>
        <v>0</v>
      </c>
      <c r="Z177" s="16"/>
      <c r="AA177" s="14"/>
      <c r="AB177" s="14"/>
      <c r="AC177" s="16"/>
      <c r="AD177" s="14"/>
      <c r="AE177" s="14"/>
      <c r="AF177" s="16"/>
      <c r="AG177" s="14"/>
      <c r="AH177" s="14"/>
      <c r="AI177" s="16"/>
      <c r="AJ177" s="14"/>
      <c r="AK177" s="14"/>
      <c r="AL177" s="16"/>
      <c r="AM177" s="14"/>
      <c r="AN177" s="14"/>
      <c r="AO177" s="16"/>
    </row>
    <row r="178" spans="1:41" ht="18.75" hidden="1" x14ac:dyDescent="0.3">
      <c r="A178" s="32"/>
      <c r="B178" s="54" t="s">
        <v>48</v>
      </c>
      <c r="C178" s="14"/>
      <c r="D178" s="14"/>
      <c r="E178" s="16"/>
      <c r="F178" s="14"/>
      <c r="G178" s="14"/>
      <c r="H178" s="16"/>
      <c r="I178" s="14"/>
      <c r="J178" s="14"/>
      <c r="K178" s="16"/>
      <c r="L178" s="14"/>
      <c r="M178" s="14"/>
      <c r="N178" s="16"/>
      <c r="O178" s="14"/>
      <c r="P178" s="14"/>
      <c r="Q178" s="16"/>
      <c r="R178" s="14"/>
      <c r="S178" s="14"/>
      <c r="T178" s="16"/>
      <c r="U178" s="14"/>
      <c r="V178" s="14"/>
      <c r="W178" s="16"/>
      <c r="X178" s="14"/>
      <c r="Y178" s="14"/>
      <c r="Z178" s="16"/>
      <c r="AA178" s="14"/>
      <c r="AB178" s="14"/>
      <c r="AC178" s="16"/>
      <c r="AD178" s="14"/>
      <c r="AE178" s="14"/>
      <c r="AF178" s="16"/>
      <c r="AG178" s="14"/>
      <c r="AH178" s="14"/>
      <c r="AI178" s="16"/>
      <c r="AJ178" s="14"/>
      <c r="AK178" s="14"/>
      <c r="AL178" s="16"/>
      <c r="AM178" s="14"/>
      <c r="AN178" s="14"/>
      <c r="AO178" s="16"/>
    </row>
    <row r="179" spans="1:41" hidden="1" x14ac:dyDescent="0.25">
      <c r="A179" s="35"/>
      <c r="B179" s="54" t="s">
        <v>18</v>
      </c>
      <c r="C179" s="14"/>
      <c r="D179" s="14"/>
      <c r="E179" s="16"/>
      <c r="F179" s="14"/>
      <c r="G179" s="14"/>
      <c r="H179" s="16"/>
      <c r="I179" s="14"/>
      <c r="J179" s="14"/>
      <c r="K179" s="16"/>
      <c r="L179" s="14"/>
      <c r="M179" s="14"/>
      <c r="N179" s="16"/>
      <c r="O179" s="14"/>
      <c r="P179" s="14"/>
      <c r="Q179" s="16"/>
      <c r="R179" s="14"/>
      <c r="S179" s="14"/>
      <c r="T179" s="16"/>
      <c r="U179" s="14"/>
      <c r="V179" s="14"/>
      <c r="W179" s="16"/>
      <c r="X179" s="60"/>
      <c r="Y179" s="14"/>
      <c r="Z179" s="16"/>
      <c r="AA179" s="14"/>
      <c r="AB179" s="14"/>
      <c r="AC179" s="16"/>
      <c r="AD179" s="14"/>
      <c r="AE179" s="14"/>
      <c r="AF179" s="16"/>
      <c r="AG179" s="14"/>
      <c r="AH179" s="14"/>
      <c r="AI179" s="16"/>
      <c r="AJ179" s="14"/>
      <c r="AK179" s="14"/>
      <c r="AL179" s="16"/>
      <c r="AM179" s="14"/>
      <c r="AN179" s="14">
        <f t="shared" ref="AN179:AN183" si="117">AM179</f>
        <v>0</v>
      </c>
      <c r="AO179" s="16"/>
    </row>
    <row r="180" spans="1:41" hidden="1" x14ac:dyDescent="0.25">
      <c r="A180" s="35"/>
      <c r="B180" s="56" t="s">
        <v>19</v>
      </c>
      <c r="C180" s="14"/>
      <c r="D180" s="14">
        <v>0</v>
      </c>
      <c r="E180" s="16"/>
      <c r="F180" s="14"/>
      <c r="G180" s="14">
        <v>0</v>
      </c>
      <c r="H180" s="16"/>
      <c r="I180" s="14">
        <v>20360000</v>
      </c>
      <c r="J180" s="14">
        <v>20072100.550000001</v>
      </c>
      <c r="K180" s="16">
        <f t="shared" ref="K180:K203" si="118">J180/I180</f>
        <v>0.98585955550098237</v>
      </c>
      <c r="L180" s="14">
        <v>23028000</v>
      </c>
      <c r="M180" s="14">
        <v>22986416.950000003</v>
      </c>
      <c r="N180" s="16">
        <f t="shared" si="113"/>
        <v>0.99819423962133069</v>
      </c>
      <c r="O180" s="14">
        <f>2000000+7500000-O195</f>
        <v>9218549</v>
      </c>
      <c r="P180" s="14">
        <f>1869971.38+7496005.8-P195</f>
        <v>9085047.4800000004</v>
      </c>
      <c r="Q180" s="16">
        <f t="shared" si="116"/>
        <v>0.98551816343331256</v>
      </c>
      <c r="R180" s="14">
        <v>10000000</v>
      </c>
      <c r="S180" s="14">
        <v>9997267.5</v>
      </c>
      <c r="T180" s="16">
        <f>S180/R180</f>
        <v>0.99972675</v>
      </c>
      <c r="U180" s="14">
        <v>160000000</v>
      </c>
      <c r="V180" s="14">
        <v>159947780.57999998</v>
      </c>
      <c r="W180" s="16">
        <f>V180/U180</f>
        <v>0.99967362862499987</v>
      </c>
      <c r="Y180" s="14"/>
      <c r="Z180" s="16"/>
      <c r="AA180" s="14"/>
      <c r="AB180" s="14"/>
      <c r="AC180" s="16"/>
      <c r="AD180" s="14"/>
      <c r="AE180" s="14"/>
      <c r="AF180" s="16"/>
      <c r="AG180" s="14"/>
      <c r="AH180" s="14"/>
      <c r="AI180" s="16"/>
      <c r="AJ180" s="14"/>
      <c r="AK180" s="14"/>
      <c r="AL180" s="16"/>
      <c r="AM180" s="14"/>
      <c r="AN180" s="14">
        <f t="shared" si="117"/>
        <v>0</v>
      </c>
      <c r="AO180" s="16" t="e">
        <f>AN180/AM180</f>
        <v>#DIV/0!</v>
      </c>
    </row>
    <row r="181" spans="1:41" hidden="1" x14ac:dyDescent="0.25">
      <c r="A181" s="35"/>
      <c r="B181" s="56" t="s">
        <v>20</v>
      </c>
      <c r="C181" s="14">
        <v>3550000</v>
      </c>
      <c r="D181" s="14">
        <v>3550000</v>
      </c>
      <c r="E181" s="16">
        <f>D181/C181</f>
        <v>1</v>
      </c>
      <c r="F181" s="14">
        <v>3450000</v>
      </c>
      <c r="G181" s="14">
        <v>3450000</v>
      </c>
      <c r="H181" s="16">
        <f t="shared" ref="H181:H203" si="119">G181/F181</f>
        <v>1</v>
      </c>
      <c r="I181" s="14">
        <v>5832000</v>
      </c>
      <c r="J181" s="14">
        <v>4651538.62</v>
      </c>
      <c r="K181" s="16">
        <f t="shared" si="118"/>
        <v>0.79758892661179703</v>
      </c>
      <c r="L181" s="14">
        <v>28466000</v>
      </c>
      <c r="M181" s="14">
        <v>26121664.649999999</v>
      </c>
      <c r="N181" s="16">
        <f t="shared" si="113"/>
        <v>0.91764437047706027</v>
      </c>
      <c r="O181" s="14">
        <f>2281451+500000+20000000+376000+27573000-O196</f>
        <v>39854451</v>
      </c>
      <c r="P181" s="14">
        <f>2280929.7+500000+19988800.14+376000+27573000-P196</f>
        <v>39857923.900000006</v>
      </c>
      <c r="Q181" s="16">
        <f t="shared" si="116"/>
        <v>1.0000871395769573</v>
      </c>
      <c r="R181" s="14">
        <f>98094000-R196</f>
        <v>60094000</v>
      </c>
      <c r="S181" s="14">
        <f>97643976.01-S196</f>
        <v>59643976.010000005</v>
      </c>
      <c r="T181" s="16">
        <f>S181/R181</f>
        <v>0.99251133241255374</v>
      </c>
      <c r="U181" s="14"/>
      <c r="V181" s="14"/>
      <c r="W181" s="16"/>
      <c r="X181" s="60">
        <f>369144959-X196</f>
        <v>318793225</v>
      </c>
      <c r="Y181" s="14">
        <f>367016155.46-Y196</f>
        <v>317928221.06999999</v>
      </c>
      <c r="Z181" s="16">
        <f>Y182/X182</f>
        <v>0.99746105111111116</v>
      </c>
      <c r="AA181" s="14">
        <f>340000000-AA196</f>
        <v>275000000</v>
      </c>
      <c r="AB181" s="14">
        <f>337235334.55-AB196</f>
        <v>274993037.59000003</v>
      </c>
      <c r="AC181" s="16">
        <f>AB181/AA181</f>
        <v>0.99997468214545471</v>
      </c>
      <c r="AD181" s="14"/>
      <c r="AE181" s="14"/>
      <c r="AF181" s="16"/>
      <c r="AG181" s="14"/>
      <c r="AH181" s="14"/>
      <c r="AI181" s="16"/>
      <c r="AJ181" s="14"/>
      <c r="AK181" s="14"/>
      <c r="AL181" s="16"/>
      <c r="AM181" s="14"/>
      <c r="AN181" s="14">
        <f t="shared" si="117"/>
        <v>0</v>
      </c>
      <c r="AO181" s="16"/>
    </row>
    <row r="182" spans="1:41" hidden="1" x14ac:dyDescent="0.25">
      <c r="A182" s="35"/>
      <c r="B182" s="56" t="s">
        <v>40</v>
      </c>
      <c r="C182" s="14"/>
      <c r="D182" s="14">
        <v>0</v>
      </c>
      <c r="E182" s="16"/>
      <c r="F182" s="14"/>
      <c r="G182" s="14">
        <v>0</v>
      </c>
      <c r="H182" s="16"/>
      <c r="I182" s="14">
        <v>350000</v>
      </c>
      <c r="J182" s="14">
        <v>341207</v>
      </c>
      <c r="K182" s="16">
        <f t="shared" si="118"/>
        <v>0.97487714285714289</v>
      </c>
      <c r="L182" s="14"/>
      <c r="M182" s="14"/>
      <c r="N182" s="16"/>
      <c r="O182" s="14"/>
      <c r="P182" s="14"/>
      <c r="Q182" s="16"/>
      <c r="R182" s="14"/>
      <c r="S182" s="14"/>
      <c r="T182" s="16"/>
      <c r="U182" s="14"/>
      <c r="V182" s="14"/>
      <c r="W182" s="16"/>
      <c r="X182" s="60">
        <f>36092563-X197</f>
        <v>18000000</v>
      </c>
      <c r="Y182" s="14">
        <f>36046861.92-Y197</f>
        <v>17954298.920000002</v>
      </c>
      <c r="Z182" s="16">
        <f>Y182/X182</f>
        <v>0.99746105111111116</v>
      </c>
      <c r="AA182" s="14">
        <f>200000000-AA197</f>
        <v>130000000</v>
      </c>
      <c r="AB182" s="14">
        <f>197847292.04-AB197</f>
        <v>129610472.03999999</v>
      </c>
      <c r="AC182" s="16">
        <f>AB182/AA182</f>
        <v>0.99700363107692302</v>
      </c>
      <c r="AD182" s="14"/>
      <c r="AE182" s="14"/>
      <c r="AF182" s="16"/>
      <c r="AG182" s="14"/>
      <c r="AH182" s="14"/>
      <c r="AI182" s="16"/>
      <c r="AJ182" s="14"/>
      <c r="AK182" s="14"/>
      <c r="AL182" s="16"/>
      <c r="AM182" s="14"/>
      <c r="AN182" s="14">
        <f t="shared" si="117"/>
        <v>0</v>
      </c>
      <c r="AO182" s="16"/>
    </row>
    <row r="183" spans="1:41" ht="14.25" hidden="1" customHeight="1" x14ac:dyDescent="0.25">
      <c r="A183" s="35"/>
      <c r="B183" s="54" t="s">
        <v>49</v>
      </c>
      <c r="C183" s="14"/>
      <c r="D183" s="14">
        <v>0</v>
      </c>
      <c r="E183" s="16"/>
      <c r="F183" s="14"/>
      <c r="G183" s="14">
        <v>0</v>
      </c>
      <c r="H183" s="16"/>
      <c r="I183" s="14">
        <v>2600000</v>
      </c>
      <c r="J183" s="14">
        <v>2180273.67</v>
      </c>
      <c r="K183" s="16">
        <f t="shared" si="118"/>
        <v>0.83856679615384611</v>
      </c>
      <c r="L183" s="14"/>
      <c r="M183" s="14"/>
      <c r="N183" s="16"/>
      <c r="O183" s="14"/>
      <c r="P183" s="14"/>
      <c r="Q183" s="16"/>
      <c r="R183" s="14"/>
      <c r="S183" s="14"/>
      <c r="T183" s="16"/>
      <c r="U183" s="14"/>
      <c r="V183" s="14"/>
      <c r="W183" s="16"/>
      <c r="X183" s="60"/>
      <c r="Y183" s="14"/>
      <c r="Z183" s="16"/>
      <c r="AA183" s="14"/>
      <c r="AB183" s="14"/>
      <c r="AC183" s="16"/>
      <c r="AD183" s="14"/>
      <c r="AE183" s="14"/>
      <c r="AF183" s="16"/>
      <c r="AG183" s="14"/>
      <c r="AH183" s="14"/>
      <c r="AI183" s="16"/>
      <c r="AJ183" s="14"/>
      <c r="AK183" s="14"/>
      <c r="AL183" s="16"/>
      <c r="AM183" s="14"/>
      <c r="AN183" s="14">
        <f t="shared" si="117"/>
        <v>0</v>
      </c>
      <c r="AO183" s="16"/>
    </row>
    <row r="184" spans="1:41" ht="14.25" hidden="1" customHeight="1" x14ac:dyDescent="0.25">
      <c r="A184" s="35"/>
      <c r="B184" s="33" t="s">
        <v>93</v>
      </c>
      <c r="C184" s="14"/>
      <c r="D184" s="14"/>
      <c r="E184" s="16"/>
      <c r="F184" s="14"/>
      <c r="G184" s="14"/>
      <c r="H184" s="16"/>
      <c r="I184" s="14"/>
      <c r="J184" s="14"/>
      <c r="K184" s="16"/>
      <c r="L184" s="14"/>
      <c r="M184" s="14"/>
      <c r="N184" s="16"/>
      <c r="O184" s="14"/>
      <c r="P184" s="14"/>
      <c r="Q184" s="16"/>
      <c r="R184" s="14"/>
      <c r="S184" s="14"/>
      <c r="T184" s="16"/>
      <c r="U184" s="14"/>
      <c r="V184" s="14"/>
      <c r="W184" s="16"/>
      <c r="X184" s="60"/>
      <c r="Y184" s="14"/>
      <c r="Z184" s="16"/>
      <c r="AA184" s="14"/>
      <c r="AB184" s="14"/>
      <c r="AC184" s="16"/>
      <c r="AD184" s="14">
        <f>AD111+AD119+AD126+AD130+AD134+AD138+AD145+AD149</f>
        <v>1621508</v>
      </c>
      <c r="AE184" s="14">
        <f>AE111+AE119+AE126+AE130+AE134+AE138+AE145+AE149</f>
        <v>1621508</v>
      </c>
      <c r="AF184" s="16"/>
      <c r="AG184" s="14"/>
      <c r="AH184" s="14"/>
      <c r="AI184" s="16"/>
      <c r="AJ184" s="14"/>
      <c r="AK184" s="14"/>
      <c r="AL184" s="16"/>
      <c r="AM184" s="14"/>
      <c r="AN184" s="14"/>
      <c r="AO184" s="16"/>
    </row>
    <row r="185" spans="1:41" ht="14.25" hidden="1" customHeight="1" x14ac:dyDescent="0.25">
      <c r="A185" s="35"/>
      <c r="B185" s="33" t="s">
        <v>94</v>
      </c>
      <c r="C185" s="14"/>
      <c r="D185" s="14"/>
      <c r="E185" s="16"/>
      <c r="F185" s="14"/>
      <c r="G185" s="14"/>
      <c r="H185" s="16"/>
      <c r="I185" s="14"/>
      <c r="J185" s="14"/>
      <c r="K185" s="16"/>
      <c r="L185" s="14"/>
      <c r="M185" s="14"/>
      <c r="N185" s="16"/>
      <c r="O185" s="14"/>
      <c r="P185" s="14"/>
      <c r="Q185" s="16"/>
      <c r="R185" s="14"/>
      <c r="S185" s="14"/>
      <c r="T185" s="16"/>
      <c r="U185" s="14"/>
      <c r="V185" s="14"/>
      <c r="W185" s="16"/>
      <c r="X185" s="60"/>
      <c r="Y185" s="14"/>
      <c r="Z185" s="16"/>
      <c r="AA185" s="14"/>
      <c r="AB185" s="14"/>
      <c r="AC185" s="16"/>
      <c r="AD185" s="14">
        <f>AD112+AD114+AD116+AD120+AD123+AD127+AD131+AD135+AD139+AD142+AD146+AD150+AD153+AD164+AD155+AD159+AD157</f>
        <v>35939492</v>
      </c>
      <c r="AE185" s="14">
        <f>AE112+AE114+AE116+AE120+AE123+AE127+AE131+AE135+AE139+AE142+AE146+AE150+AE153+AE164+AE155+AE159+AE157</f>
        <v>26450515.5</v>
      </c>
      <c r="AF185" s="16"/>
      <c r="AG185" s="14"/>
      <c r="AH185" s="14"/>
      <c r="AI185" s="16"/>
      <c r="AJ185" s="14"/>
      <c r="AK185" s="14"/>
      <c r="AL185" s="16"/>
      <c r="AM185" s="14"/>
      <c r="AN185" s="14"/>
      <c r="AO185" s="16"/>
    </row>
    <row r="186" spans="1:41" ht="14.25" hidden="1" customHeight="1" x14ac:dyDescent="0.25">
      <c r="A186" s="35"/>
      <c r="B186" s="33" t="s">
        <v>95</v>
      </c>
      <c r="C186" s="14"/>
      <c r="D186" s="14"/>
      <c r="E186" s="16"/>
      <c r="F186" s="14"/>
      <c r="G186" s="14"/>
      <c r="H186" s="16"/>
      <c r="I186" s="14"/>
      <c r="J186" s="14"/>
      <c r="K186" s="16"/>
      <c r="L186" s="14"/>
      <c r="M186" s="14"/>
      <c r="N186" s="16"/>
      <c r="O186" s="14"/>
      <c r="P186" s="14"/>
      <c r="Q186" s="16"/>
      <c r="R186" s="14"/>
      <c r="S186" s="14"/>
      <c r="T186" s="16"/>
      <c r="U186" s="14"/>
      <c r="V186" s="14"/>
      <c r="W186" s="16"/>
      <c r="X186" s="60"/>
      <c r="Y186" s="14"/>
      <c r="Z186" s="16"/>
      <c r="AA186" s="14"/>
      <c r="AB186" s="14"/>
      <c r="AC186" s="16"/>
      <c r="AD186" s="14">
        <f>AD121+AD128+AD132+AD136+AD140+AD143+AD147+AD151+AD160</f>
        <v>11100000</v>
      </c>
      <c r="AE186" s="14">
        <f>AE121+AE128+AE132+AE136+AE140+AE143+AE147+AE151+AE160</f>
        <v>0</v>
      </c>
      <c r="AF186" s="16"/>
      <c r="AG186" s="14"/>
      <c r="AH186" s="14"/>
      <c r="AI186" s="16"/>
      <c r="AJ186" s="14"/>
      <c r="AK186" s="14"/>
      <c r="AL186" s="16"/>
      <c r="AM186" s="14"/>
      <c r="AN186" s="14"/>
      <c r="AO186" s="16"/>
    </row>
    <row r="187" spans="1:41" ht="14.25" customHeight="1" x14ac:dyDescent="0.25">
      <c r="A187" s="35"/>
      <c r="B187" s="33" t="s">
        <v>46</v>
      </c>
      <c r="C187" s="17">
        <f>SUM(C173:C183)</f>
        <v>3550000</v>
      </c>
      <c r="D187" s="17">
        <f>SUM(D173:D183)</f>
        <v>3550000</v>
      </c>
      <c r="E187" s="16"/>
      <c r="F187" s="17">
        <f>SUM(F173:F183)</f>
        <v>3450000</v>
      </c>
      <c r="G187" s="17">
        <f>SUM(G173:G183)</f>
        <v>3450000</v>
      </c>
      <c r="H187" s="16"/>
      <c r="I187" s="17">
        <f>SUM(I173:I183)</f>
        <v>29142000</v>
      </c>
      <c r="J187" s="17">
        <f>SUM(J173:J183)</f>
        <v>27245119.840000004</v>
      </c>
      <c r="K187" s="16"/>
      <c r="L187" s="17">
        <f>SUM(L173:L183)</f>
        <v>53494000</v>
      </c>
      <c r="M187" s="17">
        <f>SUM(M173:M183)</f>
        <v>50287014.850000001</v>
      </c>
      <c r="N187" s="16"/>
      <c r="O187" s="17">
        <f>SUM(O173:O183)</f>
        <v>49573000</v>
      </c>
      <c r="P187" s="17">
        <f>SUM(P173:P183)</f>
        <v>49442926.38000001</v>
      </c>
      <c r="Q187" s="16"/>
      <c r="R187" s="17">
        <f>SUM(R173:R183)</f>
        <v>72594000</v>
      </c>
      <c r="S187" s="17">
        <f>SUM(S173:S183)</f>
        <v>72135256.180000007</v>
      </c>
      <c r="T187" s="16"/>
      <c r="U187" s="17">
        <f>SUM(U173:U183)</f>
        <v>160000000</v>
      </c>
      <c r="V187" s="17">
        <f>SUM(V173:V183)</f>
        <v>159947780.57999998</v>
      </c>
      <c r="W187" s="16"/>
      <c r="X187" s="61">
        <f>SUM(X173:X183)</f>
        <v>336793225</v>
      </c>
      <c r="Y187" s="17">
        <f>SUM(Y173:Y183)</f>
        <v>335882519.99000001</v>
      </c>
      <c r="Z187" s="167">
        <f>Y187/X187</f>
        <v>0.99729595210830035</v>
      </c>
      <c r="AA187" s="17">
        <f>SUM(AA173:AA183)</f>
        <v>405000000</v>
      </c>
      <c r="AB187" s="17">
        <f>SUM(AB173:AB183)</f>
        <v>404603509.63</v>
      </c>
      <c r="AC187" s="167">
        <f>AB187/AA187</f>
        <v>0.99902101143209876</v>
      </c>
      <c r="AD187" s="17">
        <f>SUM(AD184:AD186)</f>
        <v>48661000</v>
      </c>
      <c r="AE187" s="17">
        <f>SUM(AE184:AE186)</f>
        <v>28072023.5</v>
      </c>
      <c r="AF187" s="167">
        <f>AE187/AD187</f>
        <v>0.57688957275847186</v>
      </c>
      <c r="AG187" s="17">
        <f>SUM(AG108:AG183)</f>
        <v>31297500</v>
      </c>
      <c r="AH187" s="17">
        <f>SUM(AH108:AH183)</f>
        <v>27998868.890000001</v>
      </c>
      <c r="AI187" s="167">
        <f>AH187/AG187</f>
        <v>0.89460400639028681</v>
      </c>
      <c r="AJ187" s="17">
        <f>SUM(AJ108:AJ183)</f>
        <v>27815000</v>
      </c>
      <c r="AK187" s="17">
        <f>SUM(AK108:AK183)</f>
        <v>25723438.66</v>
      </c>
      <c r="AL187" s="167">
        <f t="shared" ref="AL187" si="120">AK187/AJ187</f>
        <v>0.92480455365809811</v>
      </c>
      <c r="AM187" s="17">
        <f>SUM(AM108:AM183)</f>
        <v>356479000</v>
      </c>
      <c r="AN187" s="17">
        <f>SUM(AN108:AN183)</f>
        <v>346100438.83999997</v>
      </c>
      <c r="AO187" s="167">
        <f>AN187/AM187</f>
        <v>0.97088591148426684</v>
      </c>
    </row>
    <row r="188" spans="1:41" ht="12.75" customHeight="1" x14ac:dyDescent="0.25">
      <c r="A188" s="35"/>
      <c r="B188" s="33"/>
      <c r="C188" s="14"/>
      <c r="D188" s="14"/>
      <c r="E188" s="16"/>
      <c r="F188" s="14"/>
      <c r="G188" s="14"/>
      <c r="H188" s="16"/>
      <c r="I188" s="14"/>
      <c r="J188" s="14"/>
      <c r="K188" s="16"/>
      <c r="L188" s="14"/>
      <c r="M188" s="14"/>
      <c r="N188" s="16"/>
      <c r="O188" s="14"/>
      <c r="P188" s="14"/>
      <c r="Q188" s="16"/>
      <c r="R188" s="14"/>
      <c r="S188" s="14"/>
      <c r="T188" s="16"/>
      <c r="U188" s="14"/>
      <c r="V188" s="14"/>
      <c r="W188" s="16"/>
      <c r="X188" s="60"/>
      <c r="Y188" s="14"/>
      <c r="Z188" s="16"/>
      <c r="AA188" s="14"/>
      <c r="AB188" s="14"/>
      <c r="AC188" s="16"/>
      <c r="AD188" s="14"/>
      <c r="AE188" s="14"/>
      <c r="AF188" s="16"/>
      <c r="AG188" s="14"/>
      <c r="AH188" s="14"/>
      <c r="AI188" s="16"/>
      <c r="AJ188" s="14"/>
      <c r="AK188" s="14"/>
      <c r="AL188" s="16"/>
      <c r="AM188" s="14"/>
      <c r="AN188" s="14"/>
      <c r="AO188" s="16"/>
    </row>
    <row r="189" spans="1:41" x14ac:dyDescent="0.25">
      <c r="A189" s="34" t="s">
        <v>45</v>
      </c>
      <c r="B189" s="33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62"/>
      <c r="Y189" s="24"/>
      <c r="Z189" s="14"/>
      <c r="AA189" s="24"/>
      <c r="AB189" s="24"/>
      <c r="AC189" s="14"/>
      <c r="AD189" s="24"/>
      <c r="AE189" s="24"/>
      <c r="AF189" s="112"/>
      <c r="AG189" s="115"/>
      <c r="AH189" s="115"/>
      <c r="AI189" s="112"/>
      <c r="AJ189" s="115"/>
      <c r="AK189" s="115"/>
      <c r="AL189" s="112"/>
      <c r="AM189" s="115"/>
      <c r="AN189" s="115"/>
      <c r="AO189" s="112"/>
    </row>
    <row r="190" spans="1:41" ht="18.75" x14ac:dyDescent="0.3">
      <c r="A190" s="32"/>
      <c r="B190" s="33" t="s">
        <v>8</v>
      </c>
      <c r="C190" s="14"/>
      <c r="D190" s="14"/>
      <c r="E190" s="16"/>
      <c r="F190" s="14"/>
      <c r="G190" s="14"/>
      <c r="H190" s="16"/>
      <c r="I190" s="14"/>
      <c r="J190" s="14"/>
      <c r="K190" s="16"/>
      <c r="L190" s="14"/>
      <c r="M190" s="14"/>
      <c r="N190" s="16"/>
      <c r="O190" s="14"/>
      <c r="P190" s="14"/>
      <c r="Q190" s="16"/>
      <c r="R190" s="14"/>
      <c r="S190" s="14"/>
      <c r="T190" s="16"/>
      <c r="U190" s="14"/>
      <c r="V190" s="14"/>
      <c r="W190" s="16"/>
      <c r="X190" s="14"/>
      <c r="Y190" s="14"/>
      <c r="Z190" s="16"/>
      <c r="AA190" s="14"/>
      <c r="AB190" s="14"/>
      <c r="AC190" s="16"/>
      <c r="AD190" s="14"/>
      <c r="AE190" s="14"/>
      <c r="AF190" s="113"/>
      <c r="AG190" s="112"/>
      <c r="AH190" s="112"/>
      <c r="AI190" s="113"/>
      <c r="AJ190" s="112"/>
      <c r="AK190" s="112"/>
      <c r="AL190" s="113"/>
      <c r="AM190" s="112"/>
      <c r="AN190" s="112"/>
      <c r="AO190" s="113"/>
    </row>
    <row r="191" spans="1:41" ht="18.75" hidden="1" x14ac:dyDescent="0.3">
      <c r="A191" s="32"/>
      <c r="B191" s="53" t="s">
        <v>26</v>
      </c>
      <c r="C191" s="14"/>
      <c r="D191" s="14"/>
      <c r="E191" s="16"/>
      <c r="F191" s="14"/>
      <c r="G191" s="14"/>
      <c r="H191" s="16"/>
      <c r="I191" s="14"/>
      <c r="J191" s="14"/>
      <c r="K191" s="16"/>
      <c r="L191" s="14"/>
      <c r="M191" s="14"/>
      <c r="N191" s="16"/>
      <c r="O191" s="14">
        <v>1218549</v>
      </c>
      <c r="P191" s="14">
        <v>1207838</v>
      </c>
      <c r="Q191" s="16">
        <f t="shared" ref="Q191" si="121">P191/O191</f>
        <v>0.99121003751182757</v>
      </c>
      <c r="R191" s="14">
        <v>2500000</v>
      </c>
      <c r="S191" s="14">
        <v>2495224</v>
      </c>
      <c r="T191" s="16">
        <f>S191/R191</f>
        <v>0.99808960000000002</v>
      </c>
      <c r="U191" s="14"/>
      <c r="V191" s="14">
        <f>U191</f>
        <v>0</v>
      </c>
      <c r="W191" s="16"/>
      <c r="X191" s="14"/>
      <c r="Y191" s="14">
        <f>X191</f>
        <v>0</v>
      </c>
      <c r="Z191" s="16"/>
      <c r="AA191" s="14"/>
      <c r="AB191" s="14"/>
      <c r="AC191" s="16"/>
      <c r="AD191" s="14"/>
      <c r="AE191" s="14"/>
      <c r="AF191" s="113"/>
      <c r="AG191" s="112"/>
      <c r="AH191" s="112"/>
      <c r="AI191" s="113"/>
      <c r="AJ191" s="112"/>
      <c r="AK191" s="112"/>
      <c r="AL191" s="113"/>
      <c r="AM191" s="112"/>
      <c r="AN191" s="112"/>
      <c r="AO191" s="113"/>
    </row>
    <row r="192" spans="1:41" ht="37.5" x14ac:dyDescent="0.3">
      <c r="A192" s="140"/>
      <c r="B192" s="149" t="s">
        <v>59</v>
      </c>
      <c r="C192" s="142"/>
      <c r="D192" s="142"/>
      <c r="E192" s="143"/>
      <c r="F192" s="142"/>
      <c r="G192" s="142"/>
      <c r="H192" s="143"/>
      <c r="I192" s="142"/>
      <c r="J192" s="142"/>
      <c r="K192" s="143"/>
      <c r="L192" s="142"/>
      <c r="M192" s="142"/>
      <c r="N192" s="143"/>
      <c r="O192" s="142"/>
      <c r="P192" s="142"/>
      <c r="Q192" s="143"/>
      <c r="R192" s="142"/>
      <c r="S192" s="142"/>
      <c r="T192" s="143"/>
      <c r="U192" s="142"/>
      <c r="V192" s="142"/>
      <c r="W192" s="143"/>
      <c r="X192" s="142"/>
      <c r="Y192" s="142"/>
      <c r="Z192" s="143"/>
      <c r="AA192" s="142"/>
      <c r="AB192" s="142"/>
      <c r="AC192" s="143"/>
      <c r="AD192" s="142"/>
      <c r="AE192" s="142"/>
      <c r="AF192" s="148"/>
      <c r="AG192" s="144"/>
      <c r="AH192" s="144"/>
      <c r="AI192" s="148"/>
      <c r="AJ192" s="144"/>
      <c r="AK192" s="144"/>
      <c r="AL192" s="148"/>
      <c r="AM192" s="144">
        <v>1553000</v>
      </c>
      <c r="AN192" s="144">
        <v>1546951.49</v>
      </c>
      <c r="AO192" s="176">
        <f>AN192/AM192</f>
        <v>0.99610527366387636</v>
      </c>
    </row>
    <row r="193" spans="1:41" ht="18.75" x14ac:dyDescent="0.3">
      <c r="A193" s="32"/>
      <c r="B193" s="33" t="s">
        <v>47</v>
      </c>
      <c r="C193" s="14"/>
      <c r="D193" s="14"/>
      <c r="E193" s="16"/>
      <c r="F193" s="14"/>
      <c r="G193" s="14"/>
      <c r="H193" s="16"/>
      <c r="I193" s="14"/>
      <c r="J193" s="14"/>
      <c r="K193" s="16"/>
      <c r="L193" s="14"/>
      <c r="M193" s="14"/>
      <c r="N193" s="16"/>
      <c r="O193" s="14"/>
      <c r="P193" s="14"/>
      <c r="Q193" s="16"/>
      <c r="R193" s="14"/>
      <c r="S193" s="14"/>
      <c r="T193" s="16"/>
      <c r="U193" s="14"/>
      <c r="V193" s="14"/>
      <c r="W193" s="16"/>
      <c r="X193" s="14"/>
      <c r="Y193" s="14"/>
      <c r="Z193" s="16"/>
      <c r="AA193" s="14"/>
      <c r="AB193" s="14"/>
      <c r="AC193" s="16"/>
      <c r="AD193" s="14"/>
      <c r="AE193" s="14"/>
      <c r="AF193" s="113"/>
      <c r="AG193" s="112"/>
      <c r="AH193" s="112"/>
      <c r="AI193" s="113"/>
      <c r="AJ193" s="112"/>
      <c r="AK193" s="112"/>
      <c r="AL193" s="113"/>
      <c r="AM193" s="112"/>
      <c r="AN193" s="112"/>
      <c r="AO193" s="176"/>
    </row>
    <row r="194" spans="1:41" hidden="1" x14ac:dyDescent="0.25">
      <c r="A194" s="35"/>
      <c r="B194" s="53" t="s">
        <v>18</v>
      </c>
      <c r="C194" s="14"/>
      <c r="D194" s="14"/>
      <c r="E194" s="16"/>
      <c r="F194" s="14"/>
      <c r="G194" s="14"/>
      <c r="H194" s="16"/>
      <c r="I194" s="14"/>
      <c r="J194" s="14"/>
      <c r="K194" s="16"/>
      <c r="L194" s="14"/>
      <c r="M194" s="14"/>
      <c r="N194" s="16"/>
      <c r="O194" s="14"/>
      <c r="P194" s="14"/>
      <c r="Q194" s="16"/>
      <c r="R194" s="14"/>
      <c r="S194" s="14"/>
      <c r="T194" s="16"/>
      <c r="U194" s="14"/>
      <c r="V194" s="14"/>
      <c r="W194" s="16"/>
      <c r="X194" s="14"/>
      <c r="Y194" s="14"/>
      <c r="Z194" s="16"/>
      <c r="AA194" s="14"/>
      <c r="AB194" s="14"/>
      <c r="AC194" s="16"/>
      <c r="AD194" s="14"/>
      <c r="AE194" s="14"/>
      <c r="AF194" s="113"/>
      <c r="AG194" s="112"/>
      <c r="AH194" s="112"/>
      <c r="AI194" s="113"/>
      <c r="AJ194" s="112"/>
      <c r="AK194" s="112"/>
      <c r="AL194" s="113"/>
      <c r="AM194" s="112"/>
      <c r="AN194" s="112"/>
      <c r="AO194" s="113"/>
    </row>
    <row r="195" spans="1:41" hidden="1" x14ac:dyDescent="0.25">
      <c r="A195" s="35"/>
      <c r="B195" s="55" t="s">
        <v>19</v>
      </c>
      <c r="C195" s="14"/>
      <c r="D195" s="14"/>
      <c r="E195" s="16"/>
      <c r="F195" s="14"/>
      <c r="G195" s="14"/>
      <c r="H195" s="16"/>
      <c r="I195" s="14"/>
      <c r="J195" s="14"/>
      <c r="K195" s="16"/>
      <c r="L195" s="14"/>
      <c r="M195" s="14"/>
      <c r="N195" s="16"/>
      <c r="O195" s="14">
        <v>281451</v>
      </c>
      <c r="P195" s="14">
        <v>280929.7</v>
      </c>
      <c r="Q195" s="16">
        <f t="shared" ref="Q195:Q196" si="122">P195/O195</f>
        <v>0.99814781258549445</v>
      </c>
      <c r="R195" s="14"/>
      <c r="S195" s="14"/>
      <c r="T195" s="16" t="e">
        <f>S195/R195</f>
        <v>#DIV/0!</v>
      </c>
      <c r="U195" s="14"/>
      <c r="V195" s="14"/>
      <c r="W195" s="16" t="e">
        <f>V195/U195</f>
        <v>#DIV/0!</v>
      </c>
      <c r="X195" s="14"/>
      <c r="Y195" s="14"/>
      <c r="Z195" s="16" t="e">
        <f>Y195/X195</f>
        <v>#DIV/0!</v>
      </c>
      <c r="AA195" s="14"/>
      <c r="AB195" s="14"/>
      <c r="AC195" s="16"/>
      <c r="AD195" s="14"/>
      <c r="AE195" s="14"/>
      <c r="AF195" s="113"/>
      <c r="AG195" s="112"/>
      <c r="AH195" s="112"/>
      <c r="AI195" s="113"/>
      <c r="AJ195" s="112"/>
      <c r="AK195" s="112"/>
      <c r="AL195" s="113"/>
      <c r="AM195" s="112"/>
      <c r="AN195" s="112">
        <f t="shared" ref="AN195:AN197" si="123">AM195</f>
        <v>0</v>
      </c>
      <c r="AO195" s="113"/>
    </row>
    <row r="196" spans="1:41" hidden="1" x14ac:dyDescent="0.25">
      <c r="A196" s="35"/>
      <c r="B196" s="55" t="s">
        <v>20</v>
      </c>
      <c r="C196" s="14"/>
      <c r="D196" s="14"/>
      <c r="E196" s="16"/>
      <c r="F196" s="14"/>
      <c r="G196" s="14"/>
      <c r="H196" s="16"/>
      <c r="I196" s="14"/>
      <c r="J196" s="14"/>
      <c r="K196" s="16"/>
      <c r="L196" s="14"/>
      <c r="M196" s="14"/>
      <c r="N196" s="16"/>
      <c r="O196" s="14">
        <v>10876000</v>
      </c>
      <c r="P196" s="14">
        <v>10860805.940000001</v>
      </c>
      <c r="Q196" s="16">
        <f t="shared" si="122"/>
        <v>0.99860297351967653</v>
      </c>
      <c r="R196" s="14">
        <v>38000000</v>
      </c>
      <c r="S196" s="14">
        <v>38000000</v>
      </c>
      <c r="T196" s="16">
        <f>S196/R196</f>
        <v>1</v>
      </c>
      <c r="U196" s="14"/>
      <c r="V196" s="14"/>
      <c r="W196" s="16"/>
      <c r="X196" s="14">
        <v>50351734</v>
      </c>
      <c r="Y196" s="14">
        <v>49087934.390000001</v>
      </c>
      <c r="Z196" s="16"/>
      <c r="AA196" s="14">
        <v>65000000</v>
      </c>
      <c r="AB196" s="14">
        <v>62242296.960000001</v>
      </c>
      <c r="AC196" s="16">
        <f>AB196/AA196</f>
        <v>0.9575737993846154</v>
      </c>
      <c r="AD196" s="14"/>
      <c r="AE196" s="14"/>
      <c r="AF196" s="113"/>
      <c r="AG196" s="112"/>
      <c r="AH196" s="112"/>
      <c r="AI196" s="113"/>
      <c r="AJ196" s="112"/>
      <c r="AK196" s="112"/>
      <c r="AL196" s="113"/>
      <c r="AM196" s="112"/>
      <c r="AN196" s="112">
        <f t="shared" si="123"/>
        <v>0</v>
      </c>
      <c r="AO196" s="113" t="e">
        <f t="shared" ref="AO196:AO200" si="124">AN196/AM196</f>
        <v>#DIV/0!</v>
      </c>
    </row>
    <row r="197" spans="1:41" hidden="1" x14ac:dyDescent="0.25">
      <c r="A197" s="35"/>
      <c r="B197" s="55" t="s">
        <v>40</v>
      </c>
      <c r="C197" s="14"/>
      <c r="D197" s="14"/>
      <c r="E197" s="16"/>
      <c r="F197" s="14"/>
      <c r="G197" s="14"/>
      <c r="H197" s="16"/>
      <c r="I197" s="14"/>
      <c r="J197" s="14"/>
      <c r="K197" s="16"/>
      <c r="L197" s="14"/>
      <c r="M197" s="14"/>
      <c r="N197" s="16"/>
      <c r="O197" s="14"/>
      <c r="P197" s="14"/>
      <c r="Q197" s="16"/>
      <c r="R197" s="14"/>
      <c r="S197" s="14"/>
      <c r="T197" s="16"/>
      <c r="U197" s="14"/>
      <c r="V197" s="14"/>
      <c r="W197" s="16"/>
      <c r="X197" s="14">
        <v>18092563</v>
      </c>
      <c r="Y197" s="14">
        <v>18092563</v>
      </c>
      <c r="Z197" s="16">
        <f>Y197/X197</f>
        <v>1</v>
      </c>
      <c r="AA197" s="14">
        <v>70000000</v>
      </c>
      <c r="AB197" s="14">
        <v>68236820</v>
      </c>
      <c r="AC197" s="16">
        <f>AB197/AA197</f>
        <v>0.97481171428571434</v>
      </c>
      <c r="AD197" s="14"/>
      <c r="AE197" s="14"/>
      <c r="AF197" s="113"/>
      <c r="AG197" s="112"/>
      <c r="AH197" s="112"/>
      <c r="AI197" s="113"/>
      <c r="AJ197" s="112"/>
      <c r="AK197" s="112"/>
      <c r="AL197" s="113"/>
      <c r="AM197" s="112"/>
      <c r="AN197" s="112">
        <f t="shared" si="123"/>
        <v>0</v>
      </c>
      <c r="AO197" s="113" t="e">
        <f t="shared" si="124"/>
        <v>#DIV/0!</v>
      </c>
    </row>
    <row r="198" spans="1:41" ht="30" x14ac:dyDescent="0.25">
      <c r="A198" s="150"/>
      <c r="B198" s="141" t="s">
        <v>57</v>
      </c>
      <c r="C198" s="142"/>
      <c r="D198" s="142"/>
      <c r="E198" s="143"/>
      <c r="F198" s="142"/>
      <c r="G198" s="142"/>
      <c r="H198" s="143"/>
      <c r="I198" s="142"/>
      <c r="J198" s="142"/>
      <c r="K198" s="143"/>
      <c r="L198" s="142"/>
      <c r="M198" s="142"/>
      <c r="N198" s="143"/>
      <c r="O198" s="142"/>
      <c r="P198" s="142"/>
      <c r="Q198" s="143"/>
      <c r="R198" s="142"/>
      <c r="S198" s="142"/>
      <c r="T198" s="143"/>
      <c r="U198" s="142"/>
      <c r="V198" s="142"/>
      <c r="W198" s="143"/>
      <c r="X198" s="142"/>
      <c r="Y198" s="142"/>
      <c r="Z198" s="143"/>
      <c r="AA198" s="142"/>
      <c r="AB198" s="142"/>
      <c r="AC198" s="143"/>
      <c r="AD198" s="142"/>
      <c r="AE198" s="142"/>
      <c r="AF198" s="148"/>
      <c r="AG198" s="144"/>
      <c r="AH198" s="144"/>
      <c r="AI198" s="148"/>
      <c r="AJ198" s="144"/>
      <c r="AK198" s="144"/>
      <c r="AL198" s="148"/>
      <c r="AM198" s="144">
        <v>35000000</v>
      </c>
      <c r="AN198" s="144">
        <v>33857345.789999999</v>
      </c>
      <c r="AO198" s="113">
        <f t="shared" si="124"/>
        <v>0.96735273685714285</v>
      </c>
    </row>
    <row r="199" spans="1:41" ht="30" x14ac:dyDescent="0.25">
      <c r="A199" s="35"/>
      <c r="B199" s="109" t="s">
        <v>58</v>
      </c>
      <c r="C199" s="14"/>
      <c r="D199" s="14"/>
      <c r="E199" s="16"/>
      <c r="F199" s="14"/>
      <c r="G199" s="14"/>
      <c r="H199" s="16"/>
      <c r="I199" s="14"/>
      <c r="J199" s="14"/>
      <c r="K199" s="16"/>
      <c r="L199" s="14"/>
      <c r="M199" s="14"/>
      <c r="N199" s="16"/>
      <c r="O199" s="14"/>
      <c r="P199" s="14"/>
      <c r="Q199" s="16"/>
      <c r="R199" s="14"/>
      <c r="S199" s="14"/>
      <c r="T199" s="16"/>
      <c r="U199" s="14"/>
      <c r="V199" s="14"/>
      <c r="W199" s="16"/>
      <c r="X199" s="14"/>
      <c r="Y199" s="14"/>
      <c r="Z199" s="16"/>
      <c r="AA199" s="14"/>
      <c r="AB199" s="14"/>
      <c r="AC199" s="16"/>
      <c r="AD199" s="14"/>
      <c r="AE199" s="14"/>
      <c r="AF199" s="113"/>
      <c r="AG199" s="112"/>
      <c r="AH199" s="112"/>
      <c r="AI199" s="113"/>
      <c r="AJ199" s="112"/>
      <c r="AK199" s="112"/>
      <c r="AL199" s="113"/>
      <c r="AM199" s="112">
        <v>40000000</v>
      </c>
      <c r="AN199" s="112">
        <v>35085473.170000002</v>
      </c>
      <c r="AO199" s="113">
        <f t="shared" ref="AO199" si="125">AN199/AM199</f>
        <v>0.87713682925000003</v>
      </c>
    </row>
    <row r="200" spans="1:41" ht="14.25" customHeight="1" x14ac:dyDescent="0.25">
      <c r="A200" s="35"/>
      <c r="B200" s="33" t="s">
        <v>46</v>
      </c>
      <c r="C200" s="17">
        <f>SUM(C190:C199)</f>
        <v>0</v>
      </c>
      <c r="D200" s="17">
        <f>SUM(D190:D199)</f>
        <v>0</v>
      </c>
      <c r="E200" s="16"/>
      <c r="F200" s="17">
        <f>SUM(F190:F199)</f>
        <v>0</v>
      </c>
      <c r="G200" s="17">
        <f>SUM(G190:G199)</f>
        <v>0</v>
      </c>
      <c r="H200" s="16"/>
      <c r="I200" s="17">
        <f>SUM(I190:I199)</f>
        <v>0</v>
      </c>
      <c r="J200" s="17">
        <f>SUM(J190:J199)</f>
        <v>0</v>
      </c>
      <c r="K200" s="16"/>
      <c r="L200" s="17">
        <f>SUM(L190:L199)</f>
        <v>0</v>
      </c>
      <c r="M200" s="17">
        <f>SUM(M190:M199)</f>
        <v>0</v>
      </c>
      <c r="N200" s="16"/>
      <c r="O200" s="17">
        <f>SUM(O190:O199)</f>
        <v>12376000</v>
      </c>
      <c r="P200" s="17">
        <f>SUM(P190:P199)</f>
        <v>12349573.640000001</v>
      </c>
      <c r="Q200" s="16"/>
      <c r="R200" s="17">
        <f>SUM(R190:R199)</f>
        <v>40500000</v>
      </c>
      <c r="S200" s="17">
        <f>SUM(S190:S199)</f>
        <v>40495224</v>
      </c>
      <c r="T200" s="16"/>
      <c r="U200" s="17">
        <f>SUM(U190:U199)</f>
        <v>0</v>
      </c>
      <c r="V200" s="17">
        <f>SUM(V190:V199)</f>
        <v>0</v>
      </c>
      <c r="W200" s="16"/>
      <c r="X200" s="17">
        <f>SUM(X190:X199)</f>
        <v>68444297</v>
      </c>
      <c r="Y200" s="17">
        <f>SUM(Y190:Y199)</f>
        <v>67180497.390000001</v>
      </c>
      <c r="Z200" s="167">
        <f>Y200/X200</f>
        <v>0.98153535553152083</v>
      </c>
      <c r="AA200" s="17">
        <f>SUM(AA190:AA199)</f>
        <v>135000000</v>
      </c>
      <c r="AB200" s="17">
        <f>SUM(AB190:AB199)</f>
        <v>130479116.96000001</v>
      </c>
      <c r="AC200" s="167">
        <f>AB200/AA200</f>
        <v>0.96651197748148154</v>
      </c>
      <c r="AD200" s="17">
        <f>SUM(AD190:AD199)</f>
        <v>0</v>
      </c>
      <c r="AE200" s="17">
        <f>SUM(AE190:AE199)</f>
        <v>0</v>
      </c>
      <c r="AF200" s="167" t="s">
        <v>55</v>
      </c>
      <c r="AG200" s="17">
        <f>SUM(AG190:AG199)</f>
        <v>0</v>
      </c>
      <c r="AH200" s="17">
        <f>SUM(AH190:AH199)</f>
        <v>0</v>
      </c>
      <c r="AI200" s="167" t="s">
        <v>55</v>
      </c>
      <c r="AJ200" s="17">
        <f>SUM(AJ190:AJ199)</f>
        <v>0</v>
      </c>
      <c r="AK200" s="17">
        <f>SUM(AK190:AK199)</f>
        <v>0</v>
      </c>
      <c r="AL200" s="167" t="s">
        <v>55</v>
      </c>
      <c r="AM200" s="17">
        <f>SUM(AM190:AM199)</f>
        <v>76553000</v>
      </c>
      <c r="AN200" s="17">
        <f>SUM(AN190:AN199)</f>
        <v>70489770.450000003</v>
      </c>
      <c r="AO200" s="167">
        <f t="shared" si="124"/>
        <v>0.9207969700730213</v>
      </c>
    </row>
    <row r="201" spans="1:41" x14ac:dyDescent="0.25">
      <c r="A201" s="30" t="s">
        <v>22</v>
      </c>
      <c r="B201" s="33"/>
      <c r="C201" s="47">
        <f>C187+C200</f>
        <v>3550000</v>
      </c>
      <c r="D201" s="47">
        <f>D187+D200</f>
        <v>3550000</v>
      </c>
      <c r="E201" s="16">
        <f>D201/C201</f>
        <v>1</v>
      </c>
      <c r="F201" s="47">
        <f>F187+F200</f>
        <v>3450000</v>
      </c>
      <c r="G201" s="47">
        <f>G187+G200</f>
        <v>3450000</v>
      </c>
      <c r="H201" s="16">
        <f t="shared" si="119"/>
        <v>1</v>
      </c>
      <c r="I201" s="47">
        <f>I187+I200</f>
        <v>29142000</v>
      </c>
      <c r="J201" s="47">
        <f>J187+J200</f>
        <v>27245119.840000004</v>
      </c>
      <c r="K201" s="16">
        <f t="shared" si="118"/>
        <v>0.93490906046256272</v>
      </c>
      <c r="L201" s="47">
        <f>L187+L200</f>
        <v>53494000</v>
      </c>
      <c r="M201" s="47">
        <f>M187+M200</f>
        <v>50287014.850000001</v>
      </c>
      <c r="N201" s="16">
        <f t="shared" si="113"/>
        <v>0.94004962893034738</v>
      </c>
      <c r="O201" s="47">
        <f>O187+O200</f>
        <v>61949000</v>
      </c>
      <c r="P201" s="47">
        <f>P187+P200</f>
        <v>61792500.020000011</v>
      </c>
      <c r="Q201" s="16">
        <f t="shared" si="116"/>
        <v>0.99747372871232809</v>
      </c>
      <c r="R201" s="47">
        <f>R187+R200</f>
        <v>113094000</v>
      </c>
      <c r="S201" s="47">
        <f>S187+S200</f>
        <v>112630480.18000001</v>
      </c>
      <c r="T201" s="16">
        <f>S201/R201</f>
        <v>0.99590146409181746</v>
      </c>
      <c r="U201" s="47">
        <f>U187+U200</f>
        <v>160000000</v>
      </c>
      <c r="V201" s="47">
        <f>V187+V200</f>
        <v>159947780.57999998</v>
      </c>
      <c r="W201" s="16">
        <f>V201/U201</f>
        <v>0.99967362862499987</v>
      </c>
      <c r="X201" s="47">
        <f>X187+X200</f>
        <v>405237522</v>
      </c>
      <c r="Y201" s="47">
        <f>Y187+Y200</f>
        <v>403063017.38</v>
      </c>
      <c r="Z201" s="16">
        <f>Y201/X201</f>
        <v>0.99463399981011624</v>
      </c>
      <c r="AA201" s="47">
        <f>AA187+AA200</f>
        <v>540000000</v>
      </c>
      <c r="AB201" s="47">
        <f>AB187+AB200</f>
        <v>535082626.59000003</v>
      </c>
      <c r="AC201" s="16">
        <f>AB201/AA201</f>
        <v>0.99089375294444448</v>
      </c>
      <c r="AD201" s="47">
        <f>AD187+AD200</f>
        <v>48661000</v>
      </c>
      <c r="AE201" s="47">
        <f>AE187+AE200</f>
        <v>28072023.5</v>
      </c>
      <c r="AF201" s="16">
        <f>AE201/AD201</f>
        <v>0.57688957275847186</v>
      </c>
      <c r="AG201" s="47">
        <f>AG187+AG200</f>
        <v>31297500</v>
      </c>
      <c r="AH201" s="47">
        <f>AH187+AH200</f>
        <v>27998868.890000001</v>
      </c>
      <c r="AI201" s="16">
        <f>AH201/AG201</f>
        <v>0.89460400639028681</v>
      </c>
      <c r="AJ201" s="47">
        <f>AJ187+AJ200</f>
        <v>27815000</v>
      </c>
      <c r="AK201" s="47">
        <f>AK187+AK200</f>
        <v>25723438.66</v>
      </c>
      <c r="AL201" s="16">
        <f>AK201/AJ201</f>
        <v>0.92480455365809811</v>
      </c>
      <c r="AM201" s="47">
        <f>AM187+AM200</f>
        <v>433032000</v>
      </c>
      <c r="AN201" s="47">
        <f>AN187+AN200</f>
        <v>416590209.28999996</v>
      </c>
      <c r="AO201" s="51">
        <f>AN201/AM201</f>
        <v>0.96203100299746891</v>
      </c>
    </row>
    <row r="202" spans="1:41" s="6" customFormat="1" x14ac:dyDescent="0.25">
      <c r="A202" s="37"/>
      <c r="B202" s="38" t="s">
        <v>28</v>
      </c>
      <c r="C202" s="18"/>
      <c r="D202" s="18"/>
      <c r="E202" s="19">
        <f>E201</f>
        <v>1</v>
      </c>
      <c r="F202" s="18"/>
      <c r="G202" s="18"/>
      <c r="H202" s="19">
        <v>1</v>
      </c>
      <c r="I202" s="18"/>
      <c r="J202" s="18"/>
      <c r="K202" s="19">
        <v>0.93489999999999995</v>
      </c>
      <c r="L202" s="18"/>
      <c r="M202" s="18"/>
      <c r="N202" s="19">
        <v>0.94</v>
      </c>
      <c r="O202" s="18"/>
      <c r="P202" s="18"/>
      <c r="Q202" s="19"/>
      <c r="R202" s="18"/>
      <c r="S202" s="18"/>
      <c r="T202" s="19"/>
      <c r="U202" s="18"/>
      <c r="V202" s="18"/>
      <c r="W202" s="19"/>
      <c r="X202" s="170"/>
      <c r="Y202" s="170"/>
      <c r="Z202" s="171"/>
      <c r="AA202" s="170"/>
      <c r="AB202" s="170"/>
      <c r="AC202" s="171"/>
      <c r="AD202" s="170"/>
      <c r="AE202" s="170"/>
      <c r="AF202" s="171"/>
      <c r="AG202" s="170"/>
      <c r="AH202" s="170"/>
      <c r="AI202" s="171"/>
      <c r="AJ202" s="170"/>
      <c r="AK202" s="170"/>
      <c r="AL202" s="171"/>
      <c r="AM202" s="170"/>
      <c r="AN202" s="170"/>
      <c r="AO202" s="171"/>
    </row>
    <row r="203" spans="1:41" ht="15.75" thickBot="1" x14ac:dyDescent="0.3">
      <c r="A203" s="30" t="s">
        <v>89</v>
      </c>
      <c r="B203" s="33"/>
      <c r="C203" s="22">
        <f>C201+C103</f>
        <v>115488128</v>
      </c>
      <c r="D203" s="22">
        <f>D201+D103</f>
        <v>115488128.00000001</v>
      </c>
      <c r="E203" s="16">
        <f>D203/C203</f>
        <v>1.0000000000000002</v>
      </c>
      <c r="F203" s="22">
        <f>F201+F103</f>
        <v>125704000</v>
      </c>
      <c r="G203" s="22">
        <f>G201+G103</f>
        <v>116922525.91000001</v>
      </c>
      <c r="H203" s="16">
        <f t="shared" si="119"/>
        <v>0.93014164950996003</v>
      </c>
      <c r="I203" s="22">
        <f>I201+I103</f>
        <v>191121389</v>
      </c>
      <c r="J203" s="22">
        <f>J201+J103</f>
        <v>174325549.24000001</v>
      </c>
      <c r="K203" s="16">
        <f t="shared" si="118"/>
        <v>0.91211951813514713</v>
      </c>
      <c r="L203" s="22">
        <f>L201+L103</f>
        <v>229084282</v>
      </c>
      <c r="M203" s="22">
        <f>M201+M103</f>
        <v>203649201.54999998</v>
      </c>
      <c r="N203" s="16">
        <f t="shared" si="113"/>
        <v>0.88897064334601528</v>
      </c>
      <c r="O203" s="22">
        <f>O201+O103</f>
        <v>290671103</v>
      </c>
      <c r="P203" s="22">
        <f>P201+P103</f>
        <v>276613527.61000001</v>
      </c>
      <c r="Q203" s="16">
        <f t="shared" si="116"/>
        <v>0.95163752005303404</v>
      </c>
      <c r="R203" s="22">
        <f>R201+R103</f>
        <v>331431629</v>
      </c>
      <c r="S203" s="22">
        <f>S201+S103</f>
        <v>330930389.76999998</v>
      </c>
      <c r="T203" s="16">
        <f>S203/R203</f>
        <v>0.9984876542063521</v>
      </c>
      <c r="U203" s="22">
        <f>U201+U103</f>
        <v>411238338</v>
      </c>
      <c r="V203" s="22">
        <f>V201+V103</f>
        <v>411081258.38999999</v>
      </c>
      <c r="W203" s="16">
        <f>V203/U203</f>
        <v>0.99961803266990146</v>
      </c>
      <c r="X203" s="22">
        <f>X201+X103</f>
        <v>638973465.92000008</v>
      </c>
      <c r="Y203" s="22">
        <f>Y201+Y103</f>
        <v>636798961.11999989</v>
      </c>
      <c r="Z203" s="175">
        <f>Y203/X203</f>
        <v>0.9965968777797849</v>
      </c>
      <c r="AA203" s="22">
        <f>AA201+AA103</f>
        <v>874560983</v>
      </c>
      <c r="AB203" s="22">
        <f>AB201+AB103</f>
        <v>869617724.41000009</v>
      </c>
      <c r="AC203" s="175">
        <f>AB203/AA203</f>
        <v>0.99434772567483731</v>
      </c>
      <c r="AD203" s="22">
        <f>AD201+AD103</f>
        <v>546592271</v>
      </c>
      <c r="AE203" s="22">
        <f>AE201+AE103</f>
        <v>517069510.43000001</v>
      </c>
      <c r="AF203" s="136">
        <f>AE203/AD203</f>
        <v>0.94598759964902612</v>
      </c>
      <c r="AG203" s="22">
        <f>AG201+AG103</f>
        <v>601307574</v>
      </c>
      <c r="AH203" s="22">
        <f>AH201+AH103</f>
        <v>594024235.74000001</v>
      </c>
      <c r="AI203" s="136">
        <f>AH203/AG203</f>
        <v>0.98788749955110333</v>
      </c>
      <c r="AJ203" s="22">
        <f>AJ201+AJ103</f>
        <v>785749134</v>
      </c>
      <c r="AK203" s="22">
        <f>AK201+AK103</f>
        <v>783641072.65999997</v>
      </c>
      <c r="AL203" s="136">
        <f>AK203/AJ203</f>
        <v>0.99731713183154458</v>
      </c>
      <c r="AM203" s="22">
        <f>AM201+AM103</f>
        <v>1384768708</v>
      </c>
      <c r="AN203" s="22">
        <f>AN201+AN103</f>
        <v>1358123844.4299998</v>
      </c>
      <c r="AO203" s="136">
        <f>AN203/AM203</f>
        <v>0.98075861808829945</v>
      </c>
    </row>
    <row r="204" spans="1:41" s="6" customFormat="1" ht="19.5" hidden="1" customHeight="1" thickTop="1" x14ac:dyDescent="0.25">
      <c r="A204" s="37"/>
      <c r="B204" s="38"/>
      <c r="C204" s="18"/>
      <c r="D204" s="18"/>
      <c r="E204" s="19"/>
      <c r="F204" s="18"/>
      <c r="G204" s="18"/>
      <c r="H204" s="19"/>
      <c r="I204" s="18"/>
      <c r="J204" s="18"/>
      <c r="K204" s="19"/>
      <c r="L204" s="18"/>
      <c r="M204" s="18"/>
      <c r="N204" s="19"/>
      <c r="O204" s="18"/>
      <c r="P204" s="18"/>
      <c r="Q204" s="19"/>
      <c r="R204" s="48"/>
      <c r="S204" s="48"/>
      <c r="T204" s="49"/>
      <c r="U204" s="48"/>
      <c r="V204" s="48"/>
      <c r="W204" s="49"/>
      <c r="X204" s="48"/>
      <c r="Y204" s="23"/>
      <c r="Z204" s="49"/>
      <c r="AA204" s="48"/>
      <c r="AB204" s="23"/>
      <c r="AC204" s="49"/>
      <c r="AD204" s="48"/>
      <c r="AE204" s="23"/>
      <c r="AF204" s="49"/>
      <c r="AG204" s="48"/>
      <c r="AH204" s="23"/>
      <c r="AI204" s="49"/>
      <c r="AJ204" s="48"/>
      <c r="AK204" s="23"/>
      <c r="AL204" s="49"/>
      <c r="AM204" s="48"/>
      <c r="AN204" s="23"/>
      <c r="AO204" s="49"/>
    </row>
    <row r="205" spans="1:41" hidden="1" x14ac:dyDescent="0.25">
      <c r="A205" s="35"/>
      <c r="B205" s="33"/>
      <c r="C205" s="14"/>
      <c r="D205" s="14"/>
      <c r="E205" s="14"/>
      <c r="F205" s="14"/>
      <c r="G205" s="14"/>
      <c r="H205" s="14"/>
      <c r="I205" s="13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</row>
    <row r="206" spans="1:41" ht="16.5" thickTop="1" thickBot="1" x14ac:dyDescent="0.3">
      <c r="A206" s="44"/>
      <c r="B206" s="46"/>
      <c r="C206" s="26"/>
      <c r="D206" s="26"/>
      <c r="E206" s="26"/>
      <c r="F206" s="26"/>
      <c r="G206" s="26"/>
      <c r="H206" s="26"/>
      <c r="I206" s="25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</row>
    <row r="207" spans="1:41" hidden="1" x14ac:dyDescent="0.25">
      <c r="A207" s="28"/>
      <c r="B207" s="68"/>
      <c r="C207" s="69"/>
      <c r="D207" s="69"/>
      <c r="E207" s="69"/>
      <c r="F207" s="69"/>
      <c r="G207" s="69"/>
      <c r="H207" s="69"/>
      <c r="I207" s="68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78"/>
      <c r="AE207" s="69"/>
      <c r="AF207" s="78"/>
      <c r="AG207" s="69"/>
      <c r="AH207" s="78"/>
      <c r="AI207" s="69"/>
      <c r="AJ207" s="78"/>
      <c r="AK207" s="69"/>
      <c r="AL207" s="78"/>
      <c r="AM207" s="69"/>
      <c r="AN207" s="78"/>
      <c r="AO207" s="73"/>
    </row>
    <row r="208" spans="1:41" x14ac:dyDescent="0.25">
      <c r="A208" s="126" t="s">
        <v>90</v>
      </c>
      <c r="B208" s="127"/>
      <c r="C208" s="128"/>
      <c r="D208" s="128"/>
      <c r="E208" s="128"/>
      <c r="F208" s="128"/>
      <c r="G208" s="128"/>
      <c r="H208" s="128"/>
      <c r="I208" s="127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9"/>
      <c r="Y208" s="128"/>
      <c r="Z208" s="129"/>
      <c r="AA208" s="128"/>
      <c r="AB208" s="129"/>
      <c r="AC208" s="128"/>
      <c r="AD208" s="129"/>
      <c r="AE208" s="128"/>
      <c r="AF208" s="129"/>
      <c r="AG208" s="128"/>
      <c r="AH208" s="129"/>
      <c r="AI208" s="128"/>
      <c r="AJ208" s="129"/>
      <c r="AK208" s="128"/>
      <c r="AL208" s="129"/>
      <c r="AM208" s="128"/>
      <c r="AN208" s="129"/>
      <c r="AO208" s="130"/>
    </row>
    <row r="209" spans="1:41" x14ac:dyDescent="0.25">
      <c r="A209" s="35"/>
      <c r="B209" t="s">
        <v>50</v>
      </c>
      <c r="C209" s="52">
        <f>C13+C18+C44+C49+C60+C64+C74+C79+C90+C95</f>
        <v>76691128</v>
      </c>
      <c r="D209" s="52">
        <f>D13+D18+D44+D49+D60+D64+D74+D79+D90+D95</f>
        <v>78634480.75</v>
      </c>
      <c r="E209" s="67">
        <f>D209/C209</f>
        <v>1.0253399943471948</v>
      </c>
      <c r="F209" s="52">
        <f>F13+F18+F44+F49+F60+F64+F74+F79+F90+F95</f>
        <v>72144442</v>
      </c>
      <c r="G209" s="52">
        <f>G13+G18+G44+G49+G60+G64+G74+G79+G90+G95</f>
        <v>72144442</v>
      </c>
      <c r="H209" s="67">
        <f>G209/F209</f>
        <v>1</v>
      </c>
      <c r="I209" s="52">
        <f>I13+I18+I44+I49+I60+I64+I74+I79+I90+I95</f>
        <v>99259876</v>
      </c>
      <c r="J209" s="52">
        <f>J13+J18+J44+J49+J60+J64+J74+J79+J90+J95</f>
        <v>99259875.160000011</v>
      </c>
      <c r="K209" s="67">
        <f>J209/I209</f>
        <v>0.99999999153736618</v>
      </c>
      <c r="L209" s="52">
        <f>L13+L18+L44+L49+L60+L64+L74+L79+L90+L95</f>
        <v>112686620</v>
      </c>
      <c r="M209" s="52">
        <f>M13+M18+M44+M49+M60+M64+M74+M79+M90+M95</f>
        <v>112686006</v>
      </c>
      <c r="N209" s="67">
        <f>M209/L209</f>
        <v>0.99999455126083292</v>
      </c>
      <c r="O209" s="52">
        <f>O13+O18+O44+O49+O60+O64+O74+O79+O90+O95</f>
        <v>155667686</v>
      </c>
      <c r="P209" s="52">
        <f>P13+P18+P44+P49+P60+P64+P74+P79+P90+P95</f>
        <v>155666818.20999998</v>
      </c>
      <c r="Q209" s="67">
        <f>P209/O209</f>
        <v>0.99999442536840932</v>
      </c>
      <c r="R209" s="52">
        <f>R13+R18+R44+R49+R60+R64+R74+R79+R90+R95</f>
        <v>164463411</v>
      </c>
      <c r="S209" s="52">
        <f>S13+S18+S44+S49+S60+S64+S74+S79+S90+S95</f>
        <v>164463411</v>
      </c>
      <c r="T209" s="67">
        <f>S209/R209</f>
        <v>1</v>
      </c>
      <c r="U209" s="52">
        <f>U13+U18+U44+U49+U60+U64+U74+U79+U90+U95</f>
        <v>206604580</v>
      </c>
      <c r="V209" s="52">
        <f>V13+V18+V44+V49+V60+V64+V74+V79+V90+V95</f>
        <v>206604580</v>
      </c>
      <c r="W209" s="67">
        <f>V209/U209</f>
        <v>1</v>
      </c>
      <c r="X209" s="14">
        <f>X13+X18+X44+X49+X60+X64+X74+X79+X90+X95</f>
        <v>203779225.57999998</v>
      </c>
      <c r="Y209" s="52">
        <f>Y13+Y18+Y44+Y49+Y60+Y64+Y74+Y79+Y90+Y95</f>
        <v>203779225.57999998</v>
      </c>
      <c r="Z209" s="72">
        <f>Y209/X209</f>
        <v>1</v>
      </c>
      <c r="AA209" s="52">
        <f>AA13+AA18+AA44+AA49+AA60+AA64+AA74+AA79+AA90+AA95</f>
        <v>250885387.99999997</v>
      </c>
      <c r="AB209" s="14">
        <f>AB13+AB18+AB44+AB49+AB60+AB64+AB74+AB79+AB90+AB95</f>
        <v>250885387.99999997</v>
      </c>
      <c r="AC209" s="67">
        <f>AB209/AA209</f>
        <v>1</v>
      </c>
      <c r="AD209" s="14">
        <f>AD13+AD18+AD44+AD49+AD60+AD64+AD74+AD79+AD90+AD95+AD29+AD34+AD184</f>
        <v>269092451</v>
      </c>
      <c r="AE209" s="52">
        <f>AE13+AE18+AE44+AE49+AE60+AE64+AE74+AE79+AE90+AE95+AE29+AE34</f>
        <v>258787583.00000003</v>
      </c>
      <c r="AF209" s="72">
        <f>AE209/AD209</f>
        <v>0.9617051018647863</v>
      </c>
      <c r="AG209" s="52">
        <f>AG13+AG18+AG44+AG49+AG60+AG64+AG74+AG79+AG90+AG95+AG29+AG34</f>
        <v>351181073.99999994</v>
      </c>
      <c r="AH209" s="14">
        <f>AH13+AH18+AH44+AH49+AH60+AH64+AH74+AH79+AH90+AH95+AH29+AH34</f>
        <v>347196366.85000002</v>
      </c>
      <c r="AI209" s="67">
        <f>AH209/AG209</f>
        <v>0.98865341145918384</v>
      </c>
      <c r="AJ209" s="14">
        <f>AJ13+AJ18+AJ44+AJ49+AJ60+AJ64+AJ74+AJ79+AJ90+AJ95+AJ29+AJ34</f>
        <v>479230562.62</v>
      </c>
      <c r="AK209" s="52">
        <f>AK13+AK18+AK44+AK49+AK60+AK64+AK74+AK79+AK90+AK95+AK29+AK34</f>
        <v>479214062.62000006</v>
      </c>
      <c r="AL209" s="72">
        <f>AK209/AJ209</f>
        <v>0.99996556980859119</v>
      </c>
      <c r="AM209" s="52">
        <f>AM13+AM18+AM44+AM49+AM60+AM64+AM74+AM79+AM90+AM95+AM29+AM34</f>
        <v>606667707.99999976</v>
      </c>
      <c r="AN209" s="14">
        <f>AN13+AN18+AN44+AN49+AN60+AN64+AN74+AN79+AN90+AN95+AN29+AN34</f>
        <v>601467569.13999987</v>
      </c>
      <c r="AO209" s="70">
        <f>AN209/AM209</f>
        <v>0.99142835725154521</v>
      </c>
    </row>
    <row r="210" spans="1:41" x14ac:dyDescent="0.25">
      <c r="A210" s="35"/>
      <c r="B210" t="s">
        <v>8</v>
      </c>
      <c r="C210" s="52">
        <f>C14+C19+C45+C50+C61+C65+C75+C80+C91+C96</f>
        <v>35247000</v>
      </c>
      <c r="D210" s="52">
        <f>D14+D19+D45+D50+D61+D65+D75+D80+D91+D96</f>
        <v>33303647.25</v>
      </c>
      <c r="E210" s="67">
        <f t="shared" ref="E210:E212" si="126">D210/C210</f>
        <v>0.94486473316878028</v>
      </c>
      <c r="F210" s="52">
        <f>F14+F19+F45+F50+F61+F65+F75+F80+F91+F96</f>
        <v>50109557.999999993</v>
      </c>
      <c r="G210" s="52">
        <f>G14+G19+G45+G50+G61+G65+G75+G80+G91+G96</f>
        <v>41328083.909999996</v>
      </c>
      <c r="H210" s="67">
        <f t="shared" ref="H210:H212" si="127">G210/F210</f>
        <v>0.82475450910981896</v>
      </c>
      <c r="I210" s="52">
        <f>I14+I19+I45+I50+I61+I65+I75+I80+I91+I96</f>
        <v>62719513</v>
      </c>
      <c r="J210" s="52">
        <f>J14+J19+J45+J50+J61+J65+J75+J80+J91+J96</f>
        <v>47820554.239999995</v>
      </c>
      <c r="K210" s="67">
        <f t="shared" ref="K210:K212" si="128">J210/I210</f>
        <v>0.76245098140350664</v>
      </c>
      <c r="L210" s="52">
        <f>L14+L19+L45+L50+L61+L65+L75+L80+L91+L96</f>
        <v>62903662</v>
      </c>
      <c r="M210" s="52">
        <f>M14+M19+M45+M50+M61+M65+M75+M80+M91+M96</f>
        <v>40676180.699999996</v>
      </c>
      <c r="N210" s="67">
        <f t="shared" ref="N210:N212" si="129">M210/L210</f>
        <v>0.64664249117960726</v>
      </c>
      <c r="O210" s="52">
        <f>O14+O19+O45+O50+O61+O65+O75+O80+O91+O96</f>
        <v>73054417</v>
      </c>
      <c r="P210" s="52">
        <f>P14+P19+P45+P50+P61+P65+P75+P80+P91+P96</f>
        <v>59154209.38000001</v>
      </c>
      <c r="Q210" s="67">
        <f t="shared" ref="Q210:Q212" si="130">P210/O210</f>
        <v>0.80972803300859975</v>
      </c>
      <c r="R210" s="52">
        <f>R14+R19+R45+R50+R61+R65+R75+R80+R91+R96</f>
        <v>45874218</v>
      </c>
      <c r="S210" s="52">
        <f>S14+S19+S45+S50+S61+S65+S75+S80+S91+S96</f>
        <v>45837187.700000003</v>
      </c>
      <c r="T210" s="67">
        <f t="shared" ref="T210:T212" si="131">S210/R210</f>
        <v>0.99919278623997476</v>
      </c>
      <c r="U210" s="52">
        <f>U14+U19+U45+U50+U61+U65+U75+U80+U91+U96</f>
        <v>44633758</v>
      </c>
      <c r="V210" s="52">
        <f>V14+V19+V45+V50+V61+V65+V75+V80+V91+V96</f>
        <v>44528897.81000001</v>
      </c>
      <c r="W210" s="67">
        <f t="shared" ref="W210:W212" si="132">V210/U210</f>
        <v>0.99765065289819443</v>
      </c>
      <c r="X210" s="14">
        <f>X14+X19+X45+X50+X61+X65+X75+X80+X91+X96</f>
        <v>29956718.34</v>
      </c>
      <c r="Y210" s="52">
        <f>Y14+Y19+Y45+Y50+Y61+Y65+Y75+Y80+Y91+Y96</f>
        <v>29956718.16</v>
      </c>
      <c r="Z210" s="72">
        <f t="shared" ref="Z210:Z212" si="133">Y210/X210</f>
        <v>0.99999999399133122</v>
      </c>
      <c r="AA210" s="52">
        <f>AA14+AA19+AA45+AA50+AA61+AA65+AA75+AA80+AA91+AA96+AA30+AA35</f>
        <v>71141595</v>
      </c>
      <c r="AB210" s="14">
        <f>AB14+AB19+AB45+AB50+AB61+AB65+AB75+AB80+AB91+AB96+AB30+AB35</f>
        <v>71141395</v>
      </c>
      <c r="AC210" s="67">
        <f t="shared" ref="AC210:AC212" si="134">AB210/AA210</f>
        <v>0.99999718870514498</v>
      </c>
      <c r="AD210" s="14">
        <f>AD14+AD19+AD45+AD50+AD61+AD65+AD75+AD80+AD91+AD96+AD30+AD35+AD185</f>
        <v>256348819.99999997</v>
      </c>
      <c r="AE210" s="52">
        <f>AE14+AE19+AE45+AE50+AE61+AE65+AE75+AE80+AE91+AE96+AE30+AE35</f>
        <v>220408775.75999999</v>
      </c>
      <c r="AF210" s="124">
        <f t="shared" ref="AF210:AF211" si="135">AE210/AD210</f>
        <v>0.85980023531998317</v>
      </c>
      <c r="AG210" s="14">
        <f>AG14+AG19+AG45+AG50+AG61+AG65+AG75+AG80+AG91+AG96+AG30+AG35+SUM(AG108:AG172)+SUM(AG190:AG193)</f>
        <v>225126500</v>
      </c>
      <c r="AH210" s="52">
        <f>AH14+AH19+AH45+AH50+AH61+AH65+AH75+AH80+AH91+AH96+AH30+AH35+SUM(AH108:AH172)+SUM(AH190:AH193)</f>
        <v>221868752.83000001</v>
      </c>
      <c r="AI210" s="72">
        <f t="shared" ref="AI210:AI212" si="136">AH210/AG210</f>
        <v>0.98552925946079206</v>
      </c>
      <c r="AJ210" s="43">
        <f>AJ14+AJ19+AJ45+AJ50+AJ61+AJ65+AJ75+AJ80+AJ91+AJ96+AJ30+AJ35+SUM(AJ162:AJ168)</f>
        <v>286518571.38</v>
      </c>
      <c r="AK210" s="14">
        <f>AK14+AK19+AK45+AK50+AK61+AK65+AK75+AK80+AK91+AK96+AK30+AK35+SUM(AK162:AK168)</f>
        <v>284731792.04000002</v>
      </c>
      <c r="AL210" s="72">
        <f t="shared" ref="AL210:AL212" si="137">AK210/AJ210</f>
        <v>0.99376382713555333</v>
      </c>
      <c r="AM210" s="52">
        <f>AM14+AM19+AM45+AM50+AM61+AM65+AM75+AM80+AM91+AM96+AM30+AM35</f>
        <v>325069000</v>
      </c>
      <c r="AN210" s="14">
        <f>AN14+AN19+AN45+AN50+AN61+AN65+AN75+AN80+AN91+AN96+AN30+AN35</f>
        <v>325069000</v>
      </c>
      <c r="AO210" s="70">
        <f t="shared" ref="AO210:AO212" si="138">AN210/AM210</f>
        <v>1</v>
      </c>
    </row>
    <row r="211" spans="1:41" x14ac:dyDescent="0.25">
      <c r="A211" s="35"/>
      <c r="B211" t="s">
        <v>47</v>
      </c>
      <c r="C211" s="52">
        <f>C201</f>
        <v>3550000</v>
      </c>
      <c r="D211" s="52">
        <f>D201</f>
        <v>3550000</v>
      </c>
      <c r="E211" s="67">
        <f t="shared" si="126"/>
        <v>1</v>
      </c>
      <c r="F211" s="52">
        <f>F201</f>
        <v>3450000</v>
      </c>
      <c r="G211" s="52">
        <f>G201</f>
        <v>3450000</v>
      </c>
      <c r="H211" s="67">
        <f t="shared" si="127"/>
        <v>1</v>
      </c>
      <c r="I211" s="52">
        <f>I201</f>
        <v>29142000</v>
      </c>
      <c r="J211" s="52">
        <f>J201</f>
        <v>27245119.840000004</v>
      </c>
      <c r="K211" s="67">
        <f t="shared" si="128"/>
        <v>0.93490906046256272</v>
      </c>
      <c r="L211" s="52">
        <f>L201</f>
        <v>53494000</v>
      </c>
      <c r="M211" s="52">
        <f>M201</f>
        <v>50287014.850000001</v>
      </c>
      <c r="N211" s="67">
        <f t="shared" si="129"/>
        <v>0.94004962893034738</v>
      </c>
      <c r="O211" s="52">
        <f>O201</f>
        <v>61949000</v>
      </c>
      <c r="P211" s="52">
        <f>P201</f>
        <v>61792500.020000011</v>
      </c>
      <c r="Q211" s="67">
        <f t="shared" si="130"/>
        <v>0.99747372871232809</v>
      </c>
      <c r="R211" s="52">
        <f>R201+R32</f>
        <v>121094000</v>
      </c>
      <c r="S211" s="52">
        <f>S201+S32</f>
        <v>120629791.07000001</v>
      </c>
      <c r="T211" s="67">
        <f t="shared" si="131"/>
        <v>0.99616654062133558</v>
      </c>
      <c r="U211" s="52">
        <f>U201+U32</f>
        <v>160000000</v>
      </c>
      <c r="V211" s="52">
        <f>V201+V32</f>
        <v>159947780.57999998</v>
      </c>
      <c r="W211" s="67">
        <f t="shared" si="132"/>
        <v>0.99967362862499987</v>
      </c>
      <c r="X211" s="14">
        <f>X201+X32</f>
        <v>405237522</v>
      </c>
      <c r="Y211" s="52">
        <f>Y201+Y32</f>
        <v>403063017.38</v>
      </c>
      <c r="Z211" s="72">
        <f t="shared" si="133"/>
        <v>0.99463399981011624</v>
      </c>
      <c r="AA211" s="52">
        <f>AA201+AA76+AA92</f>
        <v>552534000</v>
      </c>
      <c r="AB211" s="14">
        <f>AB201+AB76+AB92</f>
        <v>547590941.41000009</v>
      </c>
      <c r="AC211" s="67">
        <f t="shared" si="134"/>
        <v>0.99105383815294645</v>
      </c>
      <c r="AD211" s="26">
        <f>AD76+AD92+AD46+AD186</f>
        <v>21151000</v>
      </c>
      <c r="AE211" s="52">
        <f>AE201+AE76+AE92+AE46</f>
        <v>37873151.670000002</v>
      </c>
      <c r="AF211" s="79">
        <f t="shared" si="135"/>
        <v>1.7906080880336628</v>
      </c>
      <c r="AG211" s="52">
        <f>AG174+AG76+AG92+AG46</f>
        <v>25000000</v>
      </c>
      <c r="AH211" s="26">
        <f>AH201+AH76+AH92+AH46</f>
        <v>27998868.890000001</v>
      </c>
      <c r="AI211" s="67">
        <f t="shared" si="136"/>
        <v>1.1199547556</v>
      </c>
      <c r="AJ211" s="26">
        <f>AJ201+AJ76+AJ92+AJ46</f>
        <v>27815000</v>
      </c>
      <c r="AK211" s="52">
        <f>AK201+AK76+AK92+AK46</f>
        <v>25723438.66</v>
      </c>
      <c r="AL211" s="79">
        <f t="shared" si="137"/>
        <v>0.92480455365809811</v>
      </c>
      <c r="AM211" s="52">
        <f>AM201+AM76+AM92+AM46</f>
        <v>453032000</v>
      </c>
      <c r="AN211" s="26">
        <f>AN201+AN76+AN92+AN46</f>
        <v>431587275.28999996</v>
      </c>
      <c r="AO211" s="70">
        <f t="shared" si="138"/>
        <v>0.95266399567800941</v>
      </c>
    </row>
    <row r="212" spans="1:41" s="3" customFormat="1" ht="15.75" thickBot="1" x14ac:dyDescent="0.3">
      <c r="A212" s="80"/>
      <c r="B212" s="76" t="s">
        <v>36</v>
      </c>
      <c r="C212" s="77">
        <f t="shared" ref="C212:D212" si="139">SUM(C209:C211)</f>
        <v>115488128</v>
      </c>
      <c r="D212" s="77">
        <f t="shared" si="139"/>
        <v>115488128</v>
      </c>
      <c r="E212" s="81">
        <f t="shared" si="126"/>
        <v>1</v>
      </c>
      <c r="F212" s="77">
        <f>SUM(F209:F211)</f>
        <v>125704000</v>
      </c>
      <c r="G212" s="77">
        <f>SUM(G209:G211)</f>
        <v>116922525.91</v>
      </c>
      <c r="H212" s="81">
        <f t="shared" si="127"/>
        <v>0.93014164950995992</v>
      </c>
      <c r="I212" s="77">
        <f t="shared" ref="I212:J212" si="140">SUM(I209:I211)</f>
        <v>191121389</v>
      </c>
      <c r="J212" s="77">
        <f t="shared" si="140"/>
        <v>174325549.24000001</v>
      </c>
      <c r="K212" s="81">
        <f t="shared" si="128"/>
        <v>0.91211951813514713</v>
      </c>
      <c r="L212" s="77">
        <f t="shared" ref="L212:M212" si="141">SUM(L209:L211)</f>
        <v>229084282</v>
      </c>
      <c r="M212" s="77">
        <f t="shared" si="141"/>
        <v>203649201.54999998</v>
      </c>
      <c r="N212" s="81">
        <f t="shared" si="129"/>
        <v>0.88897064334601528</v>
      </c>
      <c r="O212" s="77">
        <f>SUM(O209:O211)</f>
        <v>290671103</v>
      </c>
      <c r="P212" s="77">
        <f t="shared" ref="P212" si="142">SUM(P209:P211)</f>
        <v>276613527.61000001</v>
      </c>
      <c r="Q212" s="81">
        <f t="shared" si="130"/>
        <v>0.95163752005303404</v>
      </c>
      <c r="R212" s="77">
        <f>SUM(R209:R211)</f>
        <v>331431629</v>
      </c>
      <c r="S212" s="77">
        <f t="shared" ref="S212" si="143">SUM(S209:S211)</f>
        <v>330930389.76999998</v>
      </c>
      <c r="T212" s="81">
        <f t="shared" si="131"/>
        <v>0.9984876542063521</v>
      </c>
      <c r="U212" s="77">
        <f>SUM(U209:U211)</f>
        <v>411238338</v>
      </c>
      <c r="V212" s="77">
        <f t="shared" ref="V212" si="144">SUM(V209:V211)</f>
        <v>411081258.38999999</v>
      </c>
      <c r="W212" s="81">
        <f t="shared" si="132"/>
        <v>0.99961803266990146</v>
      </c>
      <c r="X212" s="22">
        <f>SUM(X209:X211)</f>
        <v>638973465.91999996</v>
      </c>
      <c r="Y212" s="77">
        <f t="shared" ref="Y212:AB212" si="145">SUM(Y209:Y211)</f>
        <v>636798961.12</v>
      </c>
      <c r="Z212" s="83">
        <f t="shared" si="133"/>
        <v>0.99659687777978534</v>
      </c>
      <c r="AA212" s="77">
        <f t="shared" si="145"/>
        <v>874560983</v>
      </c>
      <c r="AB212" s="22">
        <f t="shared" si="145"/>
        <v>869617724.41000009</v>
      </c>
      <c r="AC212" s="81">
        <f t="shared" si="134"/>
        <v>0.99434772567483731</v>
      </c>
      <c r="AD212" s="22">
        <f t="shared" ref="AD212:AE212" si="146">SUM(AD209:AD211)</f>
        <v>546592271</v>
      </c>
      <c r="AE212" s="77">
        <f t="shared" si="146"/>
        <v>517069510.43000001</v>
      </c>
      <c r="AF212" s="83">
        <f>AE212/AD212</f>
        <v>0.94598759964902612</v>
      </c>
      <c r="AG212" s="77">
        <f t="shared" ref="AG212:AH212" si="147">SUM(AG209:AG211)</f>
        <v>601307574</v>
      </c>
      <c r="AH212" s="22">
        <f t="shared" si="147"/>
        <v>597063988.57000005</v>
      </c>
      <c r="AI212" s="81">
        <f t="shared" si="136"/>
        <v>0.99294273743839467</v>
      </c>
      <c r="AJ212" s="22">
        <f>SUM(AJ209:AJ211)</f>
        <v>793564134</v>
      </c>
      <c r="AK212" s="77">
        <f t="shared" ref="AK212" si="148">SUM(AK209:AK211)</f>
        <v>789669293.32000005</v>
      </c>
      <c r="AL212" s="83">
        <f t="shared" si="137"/>
        <v>0.99509196482914641</v>
      </c>
      <c r="AM212" s="77">
        <f t="shared" ref="AM212:AN212" si="149">SUM(AM209:AM211)</f>
        <v>1384768707.9999998</v>
      </c>
      <c r="AN212" s="22">
        <f t="shared" si="149"/>
        <v>1358123844.4299998</v>
      </c>
      <c r="AO212" s="82">
        <f t="shared" si="138"/>
        <v>0.98075861808829956</v>
      </c>
    </row>
    <row r="213" spans="1:41" ht="8.25" customHeight="1" thickTop="1" x14ac:dyDescent="0.25">
      <c r="A213" s="35"/>
      <c r="C213" s="52"/>
      <c r="D213" s="52"/>
      <c r="E213" s="52"/>
      <c r="F213" s="52"/>
      <c r="G213" s="52"/>
      <c r="H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43"/>
    </row>
    <row r="214" spans="1:41" ht="17.25" customHeight="1" x14ac:dyDescent="0.25">
      <c r="A214" s="177"/>
      <c r="B214" s="178"/>
      <c r="C214" s="179"/>
      <c r="D214" s="179"/>
      <c r="E214" s="179"/>
      <c r="F214" s="179"/>
      <c r="G214" s="179"/>
      <c r="H214" s="179"/>
      <c r="I214" s="178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  <c r="AM214" s="179"/>
      <c r="AN214" s="179"/>
      <c r="AO214" s="180"/>
    </row>
    <row r="215" spans="1:41" ht="18.75" x14ac:dyDescent="0.3">
      <c r="A215" s="182" t="s">
        <v>121</v>
      </c>
      <c r="C215" s="52"/>
      <c r="D215" s="52"/>
      <c r="E215" s="52"/>
      <c r="F215" s="52"/>
      <c r="G215" s="52"/>
      <c r="H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24"/>
      <c r="Y215" s="24"/>
      <c r="Z215" s="14"/>
      <c r="AA215" s="24"/>
      <c r="AB215" s="24"/>
      <c r="AC215" s="52"/>
      <c r="AD215" s="24"/>
      <c r="AE215" s="24"/>
      <c r="AF215" s="14"/>
      <c r="AG215" s="24"/>
      <c r="AH215" s="24"/>
      <c r="AI215" s="14"/>
      <c r="AJ215" s="24"/>
      <c r="AK215" s="24"/>
      <c r="AL215" s="14"/>
      <c r="AM215" s="24"/>
      <c r="AN215" s="24"/>
      <c r="AO215" s="14"/>
    </row>
    <row r="216" spans="1:41" ht="18.75" x14ac:dyDescent="0.3">
      <c r="A216" s="32" t="s">
        <v>17</v>
      </c>
      <c r="B216" s="33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24"/>
      <c r="Y216" s="24"/>
      <c r="Z216" s="14"/>
      <c r="AA216" s="24"/>
      <c r="AB216" s="24"/>
      <c r="AC216" s="14"/>
      <c r="AD216" s="24"/>
      <c r="AE216" s="24"/>
      <c r="AF216" s="14"/>
      <c r="AG216" s="24"/>
      <c r="AH216" s="24"/>
      <c r="AI216" s="14"/>
      <c r="AJ216" s="24"/>
      <c r="AK216" s="24"/>
      <c r="AL216" s="14"/>
      <c r="AM216" s="24"/>
      <c r="AN216" s="24"/>
      <c r="AO216" s="14"/>
    </row>
    <row r="217" spans="1:41" x14ac:dyDescent="0.25">
      <c r="A217" s="34" t="s">
        <v>44</v>
      </c>
      <c r="B217" s="33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24"/>
      <c r="Y217" s="24"/>
      <c r="Z217" s="14"/>
      <c r="AA217" s="24"/>
      <c r="AB217" s="24"/>
      <c r="AC217" s="14"/>
      <c r="AD217" s="24"/>
      <c r="AE217" s="24"/>
      <c r="AF217" s="14"/>
      <c r="AG217" s="24"/>
      <c r="AH217" s="24"/>
      <c r="AI217" s="14"/>
      <c r="AJ217" s="24"/>
      <c r="AK217" s="24"/>
      <c r="AL217" s="14"/>
      <c r="AM217" s="24"/>
      <c r="AN217" s="24"/>
      <c r="AO217" s="14"/>
    </row>
    <row r="218" spans="1:41" ht="18.75" x14ac:dyDescent="0.3">
      <c r="A218" s="32"/>
      <c r="B218" s="33" t="s">
        <v>8</v>
      </c>
      <c r="C218" s="14"/>
      <c r="D218" s="14"/>
      <c r="E218" s="16"/>
      <c r="F218" s="14"/>
      <c r="G218" s="14"/>
      <c r="H218" s="16"/>
      <c r="I218" s="14"/>
      <c r="J218" s="14"/>
      <c r="K218" s="16"/>
      <c r="L218" s="14"/>
      <c r="M218" s="14"/>
      <c r="N218" s="16"/>
      <c r="O218" s="14"/>
      <c r="P218" s="14"/>
      <c r="Q218" s="16"/>
      <c r="R218" s="14"/>
      <c r="S218" s="14"/>
      <c r="T218" s="16"/>
      <c r="U218" s="14"/>
      <c r="V218" s="14"/>
      <c r="W218" s="16"/>
      <c r="X218" s="14"/>
      <c r="Y218" s="14"/>
      <c r="Z218" s="16"/>
      <c r="AA218" s="14"/>
      <c r="AB218" s="14"/>
      <c r="AC218" s="16"/>
      <c r="AD218" s="14"/>
      <c r="AE218" s="14"/>
      <c r="AF218" s="16"/>
      <c r="AG218" s="14"/>
      <c r="AH218" s="14"/>
      <c r="AI218" s="16"/>
      <c r="AJ218" s="14"/>
      <c r="AK218" s="14"/>
      <c r="AL218" s="16"/>
      <c r="AM218" s="14"/>
      <c r="AN218" s="14"/>
      <c r="AO218" s="16"/>
    </row>
    <row r="219" spans="1:41" ht="18.75" hidden="1" x14ac:dyDescent="0.3">
      <c r="A219" s="32"/>
      <c r="B219" s="53" t="s">
        <v>26</v>
      </c>
      <c r="C219" s="14"/>
      <c r="D219" s="14"/>
      <c r="E219" s="16"/>
      <c r="F219" s="14"/>
      <c r="G219" s="14"/>
      <c r="H219" s="16"/>
      <c r="I219" s="14"/>
      <c r="J219" s="14"/>
      <c r="K219" s="16"/>
      <c r="L219" s="14"/>
      <c r="M219" s="14"/>
      <c r="N219" s="16"/>
      <c r="O219" s="14">
        <v>1218549</v>
      </c>
      <c r="P219" s="14">
        <v>1207838</v>
      </c>
      <c r="Q219" s="16">
        <f t="shared" ref="Q219" si="150">P219/O219</f>
        <v>0.99121003751182757</v>
      </c>
      <c r="R219" s="14">
        <v>2500000</v>
      </c>
      <c r="S219" s="14">
        <v>2495224</v>
      </c>
      <c r="T219" s="16">
        <f>S219/R219</f>
        <v>0.99808960000000002</v>
      </c>
      <c r="U219" s="14"/>
      <c r="V219" s="14">
        <f>U219</f>
        <v>0</v>
      </c>
      <c r="W219" s="16"/>
      <c r="X219" s="14"/>
      <c r="Y219" s="14">
        <f>X219</f>
        <v>0</v>
      </c>
      <c r="Z219" s="16"/>
      <c r="AA219" s="14"/>
      <c r="AB219" s="14"/>
      <c r="AC219" s="16"/>
      <c r="AD219" s="112"/>
      <c r="AE219" s="112"/>
      <c r="AF219" s="16"/>
      <c r="AG219" s="15"/>
      <c r="AH219" s="14"/>
      <c r="AI219" s="16"/>
      <c r="AJ219" s="14"/>
      <c r="AK219" s="14"/>
      <c r="AL219" s="16"/>
      <c r="AM219" s="14"/>
      <c r="AN219" s="14"/>
      <c r="AO219" s="16"/>
    </row>
    <row r="220" spans="1:41" ht="30.75" x14ac:dyDescent="0.3">
      <c r="A220" s="32"/>
      <c r="B220" s="109" t="s">
        <v>68</v>
      </c>
      <c r="C220" s="14"/>
      <c r="D220" s="14"/>
      <c r="E220" s="16"/>
      <c r="F220" s="14"/>
      <c r="G220" s="14"/>
      <c r="H220" s="16"/>
      <c r="I220" s="14"/>
      <c r="J220" s="14"/>
      <c r="K220" s="16"/>
      <c r="L220" s="14"/>
      <c r="M220" s="14"/>
      <c r="N220" s="16"/>
      <c r="O220" s="14"/>
      <c r="P220" s="14"/>
      <c r="Q220" s="16"/>
      <c r="R220" s="14"/>
      <c r="S220" s="14"/>
      <c r="T220" s="16"/>
      <c r="U220" s="14"/>
      <c r="V220" s="14"/>
      <c r="W220" s="16"/>
      <c r="X220" s="14"/>
      <c r="Y220" s="14"/>
      <c r="Z220" s="16"/>
      <c r="AA220" s="14"/>
      <c r="AB220" s="14"/>
      <c r="AC220" s="16"/>
      <c r="AD220" s="112">
        <f>SUM(AD221:AD222)</f>
        <v>2000000</v>
      </c>
      <c r="AE220" s="112">
        <f>SUM(AE221:AE222)</f>
        <v>417324.72</v>
      </c>
      <c r="AF220" s="123">
        <f t="shared" ref="AF220:AF229" si="151">AE220/AD220</f>
        <v>0.20866235999999999</v>
      </c>
      <c r="AG220" s="112">
        <f>SUM(AG221:AG222)</f>
        <v>1977100</v>
      </c>
      <c r="AH220" s="112">
        <f>SUM(AH221:AH222)</f>
        <v>1977100</v>
      </c>
      <c r="AI220" s="123">
        <f t="shared" ref="AI220" si="152">AH220/AG220</f>
        <v>1</v>
      </c>
      <c r="AJ220" s="112">
        <f>SUM(AJ221:AJ222)</f>
        <v>863567.13</v>
      </c>
      <c r="AK220" s="112">
        <v>395352.21</v>
      </c>
      <c r="AL220" s="123">
        <f t="shared" ref="AL220" si="153">AK220/AJ220</f>
        <v>0.45781294385301585</v>
      </c>
      <c r="AM220" s="14"/>
      <c r="AN220" s="14"/>
      <c r="AO220" s="16"/>
    </row>
    <row r="221" spans="1:41" s="121" customFormat="1" ht="18.75" hidden="1" x14ac:dyDescent="0.3">
      <c r="A221" s="116"/>
      <c r="B221" s="138" t="s">
        <v>7</v>
      </c>
      <c r="C221" s="118"/>
      <c r="D221" s="118"/>
      <c r="E221" s="119"/>
      <c r="F221" s="118"/>
      <c r="G221" s="118"/>
      <c r="H221" s="119"/>
      <c r="I221" s="118"/>
      <c r="J221" s="118"/>
      <c r="K221" s="119"/>
      <c r="L221" s="118"/>
      <c r="M221" s="118"/>
      <c r="N221" s="119"/>
      <c r="O221" s="118"/>
      <c r="P221" s="118"/>
      <c r="Q221" s="119"/>
      <c r="R221" s="118"/>
      <c r="S221" s="118"/>
      <c r="T221" s="119"/>
      <c r="U221" s="118"/>
      <c r="V221" s="118"/>
      <c r="W221" s="119"/>
      <c r="X221" s="118"/>
      <c r="Y221" s="118"/>
      <c r="Z221" s="119"/>
      <c r="AA221" s="118"/>
      <c r="AB221" s="118"/>
      <c r="AC221" s="119"/>
      <c r="AD221" s="120"/>
      <c r="AE221" s="120"/>
      <c r="AF221" s="122"/>
      <c r="AG221" s="120"/>
      <c r="AH221" s="120"/>
      <c r="AI221" s="122"/>
      <c r="AJ221" s="118"/>
      <c r="AK221" s="118"/>
      <c r="AL221" s="119"/>
      <c r="AM221" s="118"/>
      <c r="AN221" s="118"/>
      <c r="AO221" s="119"/>
    </row>
    <row r="222" spans="1:41" s="121" customFormat="1" ht="18.75" hidden="1" x14ac:dyDescent="0.3">
      <c r="A222" s="116"/>
      <c r="B222" s="138" t="s">
        <v>8</v>
      </c>
      <c r="C222" s="118"/>
      <c r="D222" s="118"/>
      <c r="E222" s="119"/>
      <c r="F222" s="118"/>
      <c r="G222" s="118"/>
      <c r="H222" s="119"/>
      <c r="I222" s="118"/>
      <c r="J222" s="118"/>
      <c r="K222" s="119"/>
      <c r="L222" s="118"/>
      <c r="M222" s="118"/>
      <c r="N222" s="119"/>
      <c r="O222" s="118"/>
      <c r="P222" s="118"/>
      <c r="Q222" s="119"/>
      <c r="R222" s="118"/>
      <c r="S222" s="118"/>
      <c r="T222" s="119"/>
      <c r="U222" s="118"/>
      <c r="V222" s="118"/>
      <c r="W222" s="119"/>
      <c r="X222" s="118"/>
      <c r="Y222" s="118"/>
      <c r="Z222" s="119"/>
      <c r="AA222" s="118"/>
      <c r="AB222" s="118"/>
      <c r="AC222" s="119"/>
      <c r="AD222" s="120">
        <v>2000000</v>
      </c>
      <c r="AE222" s="120">
        <v>417324.72</v>
      </c>
      <c r="AF222" s="122">
        <f t="shared" si="151"/>
        <v>0.20866235999999999</v>
      </c>
      <c r="AG222" s="120">
        <v>1977100</v>
      </c>
      <c r="AH222" s="120">
        <v>1977100</v>
      </c>
      <c r="AI222" s="122">
        <f t="shared" ref="AI222" si="154">AH222/AG222</f>
        <v>1</v>
      </c>
      <c r="AJ222" s="118">
        <v>863567.13</v>
      </c>
      <c r="AK222" s="118">
        <v>863567.13</v>
      </c>
      <c r="AL222" s="119"/>
      <c r="AM222" s="118"/>
      <c r="AN222" s="118"/>
      <c r="AO222" s="119"/>
    </row>
    <row r="223" spans="1:41" ht="30.75" x14ac:dyDescent="0.3">
      <c r="A223" s="140"/>
      <c r="B223" s="141" t="s">
        <v>98</v>
      </c>
      <c r="C223" s="142"/>
      <c r="D223" s="142"/>
      <c r="E223" s="143"/>
      <c r="F223" s="142"/>
      <c r="G223" s="142"/>
      <c r="H223" s="143"/>
      <c r="I223" s="142"/>
      <c r="J223" s="142"/>
      <c r="K223" s="143"/>
      <c r="L223" s="142"/>
      <c r="M223" s="142"/>
      <c r="N223" s="143"/>
      <c r="O223" s="142"/>
      <c r="P223" s="142"/>
      <c r="Q223" s="143"/>
      <c r="R223" s="142"/>
      <c r="S223" s="142"/>
      <c r="T223" s="143"/>
      <c r="U223" s="142"/>
      <c r="V223" s="142"/>
      <c r="W223" s="143"/>
      <c r="X223" s="142"/>
      <c r="Y223" s="142"/>
      <c r="Z223" s="143"/>
      <c r="AA223" s="142"/>
      <c r="AB223" s="142"/>
      <c r="AC223" s="143"/>
      <c r="AD223" s="144">
        <f>SUM(AD224)</f>
        <v>329050</v>
      </c>
      <c r="AE223" s="144">
        <f>SUM(AE224)</f>
        <v>282246.75</v>
      </c>
      <c r="AF223" s="145">
        <f t="shared" si="151"/>
        <v>0.85776249810059257</v>
      </c>
      <c r="AG223" s="146"/>
      <c r="AH223" s="142"/>
      <c r="AI223" s="143"/>
      <c r="AJ223" s="142"/>
      <c r="AK223" s="142"/>
      <c r="AL223" s="143"/>
      <c r="AM223" s="142"/>
      <c r="AN223" s="142"/>
      <c r="AO223" s="143"/>
    </row>
    <row r="224" spans="1:41" s="121" customFormat="1" ht="18.75" hidden="1" x14ac:dyDescent="0.3">
      <c r="A224" s="116"/>
      <c r="B224" s="138" t="s">
        <v>8</v>
      </c>
      <c r="C224" s="118"/>
      <c r="D224" s="118"/>
      <c r="E224" s="119"/>
      <c r="F224" s="118"/>
      <c r="G224" s="118"/>
      <c r="H224" s="119"/>
      <c r="I224" s="118"/>
      <c r="J224" s="118"/>
      <c r="K224" s="119"/>
      <c r="L224" s="118"/>
      <c r="M224" s="118"/>
      <c r="N224" s="119"/>
      <c r="O224" s="118"/>
      <c r="P224" s="118"/>
      <c r="Q224" s="119"/>
      <c r="R224" s="118"/>
      <c r="S224" s="118"/>
      <c r="T224" s="119"/>
      <c r="U224" s="118"/>
      <c r="V224" s="118"/>
      <c r="W224" s="119"/>
      <c r="X224" s="118"/>
      <c r="Y224" s="118"/>
      <c r="Z224" s="119"/>
      <c r="AA224" s="118"/>
      <c r="AB224" s="118"/>
      <c r="AC224" s="119"/>
      <c r="AD224" s="120">
        <v>329050</v>
      </c>
      <c r="AE224" s="120">
        <v>282246.75</v>
      </c>
      <c r="AF224" s="122">
        <f t="shared" si="151"/>
        <v>0.85776249810059257</v>
      </c>
      <c r="AG224" s="118"/>
      <c r="AH224" s="118"/>
      <c r="AI224" s="119"/>
      <c r="AJ224" s="118"/>
      <c r="AK224" s="118"/>
      <c r="AL224" s="119"/>
      <c r="AM224" s="118"/>
      <c r="AN224" s="118"/>
      <c r="AO224" s="119"/>
    </row>
    <row r="225" spans="1:41" ht="30.75" x14ac:dyDescent="0.3">
      <c r="A225" s="32"/>
      <c r="B225" s="109" t="s">
        <v>99</v>
      </c>
      <c r="C225" s="14"/>
      <c r="D225" s="14"/>
      <c r="E225" s="16"/>
      <c r="F225" s="14"/>
      <c r="G225" s="14"/>
      <c r="H225" s="16"/>
      <c r="I225" s="14"/>
      <c r="J225" s="14"/>
      <c r="K225" s="16"/>
      <c r="L225" s="14"/>
      <c r="M225" s="14"/>
      <c r="N225" s="16"/>
      <c r="O225" s="14"/>
      <c r="P225" s="14"/>
      <c r="Q225" s="16"/>
      <c r="R225" s="14"/>
      <c r="S225" s="14"/>
      <c r="T225" s="16"/>
      <c r="U225" s="14"/>
      <c r="V225" s="14"/>
      <c r="W225" s="16"/>
      <c r="X225" s="14"/>
      <c r="Y225" s="14"/>
      <c r="Z225" s="16"/>
      <c r="AA225" s="14"/>
      <c r="AB225" s="14"/>
      <c r="AC225" s="16"/>
      <c r="AD225" s="112">
        <f>SUM(AD226:AD227)</f>
        <v>18100000</v>
      </c>
      <c r="AE225" s="112">
        <f>SUM(AE226:AE227)</f>
        <v>16464309.710000001</v>
      </c>
      <c r="AF225" s="123">
        <f t="shared" si="151"/>
        <v>0.90963037071823205</v>
      </c>
      <c r="AG225" s="15"/>
      <c r="AH225" s="14"/>
      <c r="AI225" s="16"/>
      <c r="AJ225" s="14"/>
      <c r="AK225" s="14"/>
      <c r="AL225" s="16"/>
      <c r="AM225" s="14"/>
      <c r="AN225" s="14"/>
      <c r="AO225" s="16"/>
    </row>
    <row r="226" spans="1:41" s="121" customFormat="1" ht="18.75" hidden="1" x14ac:dyDescent="0.3">
      <c r="A226" s="116"/>
      <c r="B226" s="138" t="s">
        <v>8</v>
      </c>
      <c r="C226" s="118"/>
      <c r="D226" s="118"/>
      <c r="E226" s="119"/>
      <c r="F226" s="118"/>
      <c r="G226" s="118"/>
      <c r="H226" s="119"/>
      <c r="I226" s="118"/>
      <c r="J226" s="118"/>
      <c r="K226" s="119"/>
      <c r="L226" s="118"/>
      <c r="M226" s="118"/>
      <c r="N226" s="119"/>
      <c r="O226" s="118"/>
      <c r="P226" s="118"/>
      <c r="Q226" s="119"/>
      <c r="R226" s="118"/>
      <c r="S226" s="118"/>
      <c r="T226" s="119"/>
      <c r="U226" s="118"/>
      <c r="V226" s="118"/>
      <c r="W226" s="119"/>
      <c r="X226" s="118"/>
      <c r="Y226" s="118"/>
      <c r="Z226" s="119"/>
      <c r="AA226" s="118"/>
      <c r="AB226" s="118"/>
      <c r="AC226" s="119"/>
      <c r="AD226" s="120">
        <v>7000000</v>
      </c>
      <c r="AE226" s="120">
        <v>5507467.71</v>
      </c>
      <c r="AF226" s="122">
        <f t="shared" si="151"/>
        <v>0.78678110142857138</v>
      </c>
      <c r="AG226" s="118"/>
      <c r="AH226" s="118"/>
      <c r="AI226" s="119"/>
      <c r="AJ226" s="118"/>
      <c r="AK226" s="118"/>
      <c r="AL226" s="119"/>
      <c r="AM226" s="118"/>
      <c r="AN226" s="118"/>
      <c r="AO226" s="119"/>
    </row>
    <row r="227" spans="1:41" s="121" customFormat="1" ht="18.75" hidden="1" x14ac:dyDescent="0.3">
      <c r="A227" s="116"/>
      <c r="B227" s="138" t="s">
        <v>42</v>
      </c>
      <c r="C227" s="118"/>
      <c r="D227" s="118"/>
      <c r="E227" s="119"/>
      <c r="F227" s="118"/>
      <c r="G227" s="118"/>
      <c r="H227" s="119"/>
      <c r="I227" s="118"/>
      <c r="J227" s="118"/>
      <c r="K227" s="119"/>
      <c r="L227" s="118"/>
      <c r="M227" s="118"/>
      <c r="N227" s="119"/>
      <c r="O227" s="118"/>
      <c r="P227" s="118"/>
      <c r="Q227" s="119"/>
      <c r="R227" s="118"/>
      <c r="S227" s="118"/>
      <c r="T227" s="119"/>
      <c r="U227" s="118"/>
      <c r="V227" s="118"/>
      <c r="W227" s="119"/>
      <c r="X227" s="118"/>
      <c r="Y227" s="118"/>
      <c r="Z227" s="119"/>
      <c r="AA227" s="118"/>
      <c r="AB227" s="118"/>
      <c r="AC227" s="119"/>
      <c r="AD227" s="120">
        <v>11100000</v>
      </c>
      <c r="AE227" s="120">
        <v>10956842</v>
      </c>
      <c r="AF227" s="122">
        <f t="shared" si="151"/>
        <v>0.98710288288288284</v>
      </c>
      <c r="AG227" s="118"/>
      <c r="AH227" s="118"/>
      <c r="AI227" s="119"/>
      <c r="AJ227" s="118"/>
      <c r="AK227" s="118"/>
      <c r="AL227" s="119"/>
      <c r="AM227" s="118"/>
      <c r="AN227" s="118"/>
      <c r="AO227" s="119"/>
    </row>
    <row r="228" spans="1:41" ht="18.75" x14ac:dyDescent="0.3">
      <c r="A228" s="140"/>
      <c r="B228" s="141" t="s">
        <v>101</v>
      </c>
      <c r="C228" s="142"/>
      <c r="D228" s="142"/>
      <c r="E228" s="143"/>
      <c r="F228" s="142"/>
      <c r="G228" s="142"/>
      <c r="H228" s="143"/>
      <c r="I228" s="142"/>
      <c r="J228" s="142"/>
      <c r="K228" s="143"/>
      <c r="L228" s="142"/>
      <c r="M228" s="142"/>
      <c r="N228" s="143"/>
      <c r="O228" s="142"/>
      <c r="P228" s="142"/>
      <c r="Q228" s="143"/>
      <c r="R228" s="142"/>
      <c r="S228" s="142"/>
      <c r="T228" s="143"/>
      <c r="U228" s="142"/>
      <c r="V228" s="142"/>
      <c r="W228" s="143"/>
      <c r="X228" s="142"/>
      <c r="Y228" s="142"/>
      <c r="Z228" s="143"/>
      <c r="AA228" s="142"/>
      <c r="AB228" s="142"/>
      <c r="AC228" s="143"/>
      <c r="AD228" s="144">
        <f>SUM(AD229:AD229)</f>
        <v>159926.5</v>
      </c>
      <c r="AE228" s="144">
        <f>SUM(AE229:AE229)</f>
        <v>159850</v>
      </c>
      <c r="AF228" s="145">
        <f t="shared" si="151"/>
        <v>0.99952165526038528</v>
      </c>
      <c r="AG228" s="146"/>
      <c r="AH228" s="142"/>
      <c r="AI228" s="143"/>
      <c r="AJ228" s="142"/>
      <c r="AK228" s="142"/>
      <c r="AL228" s="143"/>
      <c r="AM228" s="142"/>
      <c r="AN228" s="142"/>
      <c r="AO228" s="143"/>
    </row>
    <row r="229" spans="1:41" s="121" customFormat="1" ht="18.75" hidden="1" x14ac:dyDescent="0.3">
      <c r="A229" s="116"/>
      <c r="B229" s="138" t="s">
        <v>8</v>
      </c>
      <c r="C229" s="118"/>
      <c r="D229" s="118"/>
      <c r="E229" s="119"/>
      <c r="F229" s="118"/>
      <c r="G229" s="118"/>
      <c r="H229" s="119"/>
      <c r="I229" s="118"/>
      <c r="J229" s="118"/>
      <c r="K229" s="119"/>
      <c r="L229" s="118"/>
      <c r="M229" s="118"/>
      <c r="N229" s="119"/>
      <c r="O229" s="118"/>
      <c r="P229" s="118"/>
      <c r="Q229" s="119"/>
      <c r="R229" s="118"/>
      <c r="S229" s="118"/>
      <c r="T229" s="119"/>
      <c r="U229" s="118"/>
      <c r="V229" s="118"/>
      <c r="W229" s="119"/>
      <c r="X229" s="118"/>
      <c r="Y229" s="118"/>
      <c r="Z229" s="119"/>
      <c r="AA229" s="118"/>
      <c r="AB229" s="118"/>
      <c r="AC229" s="119"/>
      <c r="AD229" s="120">
        <v>159926.5</v>
      </c>
      <c r="AE229" s="120">
        <v>159850</v>
      </c>
      <c r="AF229" s="122">
        <f t="shared" si="151"/>
        <v>0.99952165526038528</v>
      </c>
      <c r="AG229" s="118"/>
      <c r="AH229" s="118"/>
      <c r="AI229" s="119"/>
      <c r="AJ229" s="118"/>
      <c r="AK229" s="118"/>
      <c r="AL229" s="119"/>
      <c r="AM229" s="118"/>
      <c r="AN229" s="118"/>
      <c r="AO229" s="119"/>
    </row>
    <row r="230" spans="1:41" ht="30.75" x14ac:dyDescent="0.3">
      <c r="A230" s="156"/>
      <c r="B230" s="157" t="s">
        <v>73</v>
      </c>
      <c r="C230" s="26"/>
      <c r="D230" s="26"/>
      <c r="E230" s="96"/>
      <c r="F230" s="26"/>
      <c r="G230" s="26"/>
      <c r="H230" s="96"/>
      <c r="I230" s="26"/>
      <c r="J230" s="26"/>
      <c r="K230" s="96"/>
      <c r="L230" s="26"/>
      <c r="M230" s="26"/>
      <c r="N230" s="96"/>
      <c r="O230" s="26"/>
      <c r="P230" s="26"/>
      <c r="Q230" s="96"/>
      <c r="R230" s="26"/>
      <c r="S230" s="26"/>
      <c r="T230" s="96"/>
      <c r="U230" s="26"/>
      <c r="V230" s="26"/>
      <c r="W230" s="96"/>
      <c r="X230" s="26"/>
      <c r="Y230" s="26"/>
      <c r="Z230" s="96"/>
      <c r="AA230" s="26"/>
      <c r="AB230" s="26"/>
      <c r="AC230" s="96"/>
      <c r="AD230" s="158"/>
      <c r="AE230" s="158"/>
      <c r="AF230" s="159"/>
      <c r="AG230" s="158">
        <f>SUM(AG231:AG232)</f>
        <v>1280647.17</v>
      </c>
      <c r="AH230" s="158">
        <f>SUM(AH231:AH232)</f>
        <v>1280420.75</v>
      </c>
      <c r="AI230" s="159">
        <f t="shared" ref="AI230:AI232" si="155">AH230/AG230</f>
        <v>0.99982319876598025</v>
      </c>
      <c r="AJ230" s="26"/>
      <c r="AK230" s="26"/>
      <c r="AL230" s="96"/>
      <c r="AM230" s="26"/>
      <c r="AN230" s="26"/>
      <c r="AO230" s="96"/>
    </row>
    <row r="231" spans="1:41" s="121" customFormat="1" ht="18.75" hidden="1" x14ac:dyDescent="0.3">
      <c r="A231" s="116"/>
      <c r="B231" s="138" t="s">
        <v>8</v>
      </c>
      <c r="C231" s="118"/>
      <c r="D231" s="118"/>
      <c r="E231" s="119"/>
      <c r="F231" s="118"/>
      <c r="G231" s="118"/>
      <c r="H231" s="119"/>
      <c r="I231" s="118"/>
      <c r="J231" s="118"/>
      <c r="K231" s="119"/>
      <c r="L231" s="118"/>
      <c r="M231" s="118"/>
      <c r="N231" s="119"/>
      <c r="O231" s="118"/>
      <c r="P231" s="118"/>
      <c r="Q231" s="119"/>
      <c r="R231" s="118"/>
      <c r="S231" s="118"/>
      <c r="T231" s="119"/>
      <c r="U231" s="118"/>
      <c r="V231" s="118"/>
      <c r="W231" s="119"/>
      <c r="X231" s="118"/>
      <c r="Y231" s="118"/>
      <c r="Z231" s="119"/>
      <c r="AA231" s="118"/>
      <c r="AB231" s="118"/>
      <c r="AC231" s="119"/>
      <c r="AD231" s="120"/>
      <c r="AE231" s="120"/>
      <c r="AF231" s="122"/>
      <c r="AG231" s="118"/>
      <c r="AH231" s="118"/>
      <c r="AI231" s="119"/>
      <c r="AJ231" s="118"/>
      <c r="AK231" s="118"/>
      <c r="AL231" s="119"/>
      <c r="AM231" s="118"/>
      <c r="AN231" s="118"/>
      <c r="AO231" s="119"/>
    </row>
    <row r="232" spans="1:41" s="121" customFormat="1" ht="18.75" hidden="1" x14ac:dyDescent="0.3">
      <c r="A232" s="116"/>
      <c r="B232" s="138" t="s">
        <v>42</v>
      </c>
      <c r="C232" s="118"/>
      <c r="D232" s="118"/>
      <c r="E232" s="119"/>
      <c r="F232" s="118"/>
      <c r="G232" s="118"/>
      <c r="H232" s="119"/>
      <c r="I232" s="118"/>
      <c r="J232" s="118"/>
      <c r="K232" s="119"/>
      <c r="L232" s="118"/>
      <c r="M232" s="118"/>
      <c r="N232" s="119"/>
      <c r="O232" s="118"/>
      <c r="P232" s="118"/>
      <c r="Q232" s="119"/>
      <c r="R232" s="118"/>
      <c r="S232" s="118"/>
      <c r="T232" s="119"/>
      <c r="U232" s="118"/>
      <c r="V232" s="118"/>
      <c r="W232" s="119"/>
      <c r="X232" s="118"/>
      <c r="Y232" s="118"/>
      <c r="Z232" s="119"/>
      <c r="AA232" s="118"/>
      <c r="AB232" s="118"/>
      <c r="AC232" s="119"/>
      <c r="AD232" s="120"/>
      <c r="AE232" s="120"/>
      <c r="AF232" s="122"/>
      <c r="AG232" s="118">
        <v>1280647.17</v>
      </c>
      <c r="AH232" s="118">
        <v>1280420.75</v>
      </c>
      <c r="AI232" s="122">
        <f t="shared" si="155"/>
        <v>0.99982319876598025</v>
      </c>
      <c r="AJ232" s="118"/>
      <c r="AK232" s="118"/>
      <c r="AL232" s="119"/>
      <c r="AM232" s="118"/>
      <c r="AN232" s="118"/>
      <c r="AO232" s="119"/>
    </row>
    <row r="233" spans="1:41" ht="27" x14ac:dyDescent="0.3">
      <c r="A233" s="140"/>
      <c r="B233" s="147" t="s">
        <v>66</v>
      </c>
      <c r="C233" s="142"/>
      <c r="D233" s="142"/>
      <c r="E233" s="143"/>
      <c r="F233" s="142"/>
      <c r="G233" s="142"/>
      <c r="H233" s="143"/>
      <c r="I233" s="142"/>
      <c r="J233" s="142"/>
      <c r="K233" s="143"/>
      <c r="L233" s="142"/>
      <c r="M233" s="142"/>
      <c r="N233" s="143"/>
      <c r="O233" s="142"/>
      <c r="P233" s="142"/>
      <c r="Q233" s="143"/>
      <c r="R233" s="142"/>
      <c r="S233" s="142"/>
      <c r="T233" s="143"/>
      <c r="U233" s="142"/>
      <c r="V233" s="142"/>
      <c r="W233" s="143"/>
      <c r="X233" s="142"/>
      <c r="Y233" s="142"/>
      <c r="Z233" s="143"/>
      <c r="AA233" s="142"/>
      <c r="AB233" s="142"/>
      <c r="AC233" s="143"/>
      <c r="AD233" s="144"/>
      <c r="AE233" s="144"/>
      <c r="AF233" s="145"/>
      <c r="AG233" s="144"/>
      <c r="AH233" s="144"/>
      <c r="AI233" s="145"/>
      <c r="AJ233" s="144">
        <f>SUM(AJ234:AJ234)</f>
        <v>22809.99</v>
      </c>
      <c r="AK233" s="144">
        <v>22620</v>
      </c>
      <c r="AL233" s="145">
        <f t="shared" ref="AL233" si="156">AK233/AJ233</f>
        <v>0.99167075478770483</v>
      </c>
      <c r="AM233" s="144"/>
      <c r="AN233" s="144"/>
      <c r="AO233" s="148"/>
    </row>
    <row r="234" spans="1:41" s="121" customFormat="1" ht="18.75" hidden="1" x14ac:dyDescent="0.3">
      <c r="A234" s="116"/>
      <c r="B234" s="138" t="s">
        <v>8</v>
      </c>
      <c r="C234" s="118"/>
      <c r="D234" s="118"/>
      <c r="E234" s="119"/>
      <c r="F234" s="118"/>
      <c r="G234" s="118"/>
      <c r="H234" s="119"/>
      <c r="I234" s="118"/>
      <c r="J234" s="118"/>
      <c r="K234" s="119"/>
      <c r="L234" s="118"/>
      <c r="M234" s="118"/>
      <c r="N234" s="119"/>
      <c r="O234" s="118"/>
      <c r="P234" s="118"/>
      <c r="Q234" s="119"/>
      <c r="R234" s="118"/>
      <c r="S234" s="118"/>
      <c r="T234" s="119"/>
      <c r="U234" s="118"/>
      <c r="V234" s="118"/>
      <c r="W234" s="119"/>
      <c r="X234" s="118"/>
      <c r="Y234" s="118"/>
      <c r="Z234" s="119"/>
      <c r="AA234" s="118"/>
      <c r="AB234" s="118"/>
      <c r="AC234" s="119"/>
      <c r="AD234" s="120"/>
      <c r="AE234" s="120"/>
      <c r="AF234" s="122"/>
      <c r="AG234" s="120"/>
      <c r="AH234" s="120"/>
      <c r="AI234" s="122"/>
      <c r="AJ234" s="120">
        <v>22809.99</v>
      </c>
      <c r="AK234" s="120">
        <v>22809.99</v>
      </c>
      <c r="AL234" s="122"/>
      <c r="AM234" s="120"/>
      <c r="AN234" s="120"/>
      <c r="AO234" s="122"/>
    </row>
    <row r="235" spans="1:41" ht="25.5" x14ac:dyDescent="0.3">
      <c r="A235" s="32"/>
      <c r="B235" s="137" t="s">
        <v>67</v>
      </c>
      <c r="C235" s="14"/>
      <c r="D235" s="14"/>
      <c r="E235" s="16"/>
      <c r="F235" s="14"/>
      <c r="G235" s="14"/>
      <c r="H235" s="16"/>
      <c r="I235" s="14"/>
      <c r="J235" s="14"/>
      <c r="K235" s="16"/>
      <c r="L235" s="14"/>
      <c r="M235" s="14"/>
      <c r="N235" s="16"/>
      <c r="O235" s="14"/>
      <c r="P235" s="14"/>
      <c r="Q235" s="16"/>
      <c r="R235" s="14"/>
      <c r="S235" s="14"/>
      <c r="T235" s="16"/>
      <c r="U235" s="14"/>
      <c r="V235" s="14"/>
      <c r="W235" s="16"/>
      <c r="X235" s="14"/>
      <c r="Y235" s="14"/>
      <c r="Z235" s="16"/>
      <c r="AA235" s="14"/>
      <c r="AB235" s="14"/>
      <c r="AC235" s="16"/>
      <c r="AD235" s="112"/>
      <c r="AE235" s="112"/>
      <c r="AF235" s="123"/>
      <c r="AG235" s="112"/>
      <c r="AH235" s="112"/>
      <c r="AI235" s="123"/>
      <c r="AJ235" s="112">
        <f>SUM(AJ236:AJ236)</f>
        <v>1454.64</v>
      </c>
      <c r="AK235" s="112">
        <v>0</v>
      </c>
      <c r="AL235" s="123">
        <f t="shared" ref="AL235" si="157">AK235/AJ235</f>
        <v>0</v>
      </c>
      <c r="AM235" s="112"/>
      <c r="AN235" s="112"/>
      <c r="AO235" s="113"/>
    </row>
    <row r="236" spans="1:41" s="121" customFormat="1" ht="18.75" hidden="1" x14ac:dyDescent="0.3">
      <c r="A236" s="116"/>
      <c r="B236" s="138" t="s">
        <v>8</v>
      </c>
      <c r="C236" s="118"/>
      <c r="D236" s="118"/>
      <c r="E236" s="119"/>
      <c r="F236" s="118"/>
      <c r="G236" s="118"/>
      <c r="H236" s="119"/>
      <c r="I236" s="118"/>
      <c r="J236" s="118"/>
      <c r="K236" s="119"/>
      <c r="L236" s="118"/>
      <c r="M236" s="118"/>
      <c r="N236" s="119"/>
      <c r="O236" s="118"/>
      <c r="P236" s="118"/>
      <c r="Q236" s="119"/>
      <c r="R236" s="118"/>
      <c r="S236" s="118"/>
      <c r="T236" s="119"/>
      <c r="U236" s="118"/>
      <c r="V236" s="118"/>
      <c r="W236" s="119"/>
      <c r="X236" s="118"/>
      <c r="Y236" s="118"/>
      <c r="Z236" s="119"/>
      <c r="AA236" s="118"/>
      <c r="AB236" s="118"/>
      <c r="AC236" s="119"/>
      <c r="AD236" s="120"/>
      <c r="AE236" s="120"/>
      <c r="AF236" s="122"/>
      <c r="AG236" s="120"/>
      <c r="AH236" s="120"/>
      <c r="AI236" s="122"/>
      <c r="AJ236" s="120">
        <v>1454.64</v>
      </c>
      <c r="AK236" s="120">
        <v>1454.64</v>
      </c>
      <c r="AL236" s="122"/>
      <c r="AM236" s="120"/>
      <c r="AN236" s="120"/>
      <c r="AO236" s="122"/>
    </row>
    <row r="237" spans="1:41" ht="18.75" x14ac:dyDescent="0.3">
      <c r="A237" s="140"/>
      <c r="B237" s="141" t="s">
        <v>61</v>
      </c>
      <c r="C237" s="142"/>
      <c r="D237" s="142"/>
      <c r="E237" s="143"/>
      <c r="F237" s="142"/>
      <c r="G237" s="142"/>
      <c r="H237" s="143"/>
      <c r="I237" s="142"/>
      <c r="J237" s="142"/>
      <c r="K237" s="143"/>
      <c r="L237" s="142"/>
      <c r="M237" s="142"/>
      <c r="N237" s="143"/>
      <c r="O237" s="142"/>
      <c r="P237" s="142"/>
      <c r="Q237" s="143"/>
      <c r="R237" s="142"/>
      <c r="S237" s="142"/>
      <c r="T237" s="143"/>
      <c r="U237" s="142"/>
      <c r="V237" s="142"/>
      <c r="W237" s="143"/>
      <c r="X237" s="142"/>
      <c r="Y237" s="142"/>
      <c r="Z237" s="143"/>
      <c r="AA237" s="142"/>
      <c r="AB237" s="142"/>
      <c r="AC237" s="143"/>
      <c r="AD237" s="144"/>
      <c r="AE237" s="144"/>
      <c r="AF237" s="145"/>
      <c r="AG237" s="144"/>
      <c r="AH237" s="144"/>
      <c r="AI237" s="145"/>
      <c r="AJ237" s="144">
        <f>SUM(AJ238:AJ238)</f>
        <v>122500</v>
      </c>
      <c r="AK237" s="144">
        <v>120000</v>
      </c>
      <c r="AL237" s="145">
        <f t="shared" ref="AL237" si="158">AK237/AJ237</f>
        <v>0.97959183673469385</v>
      </c>
      <c r="AM237" s="144"/>
      <c r="AN237" s="144"/>
      <c r="AO237" s="148"/>
    </row>
    <row r="238" spans="1:41" s="121" customFormat="1" ht="18.75" hidden="1" x14ac:dyDescent="0.3">
      <c r="A238" s="116"/>
      <c r="B238" s="138" t="s">
        <v>8</v>
      </c>
      <c r="C238" s="118"/>
      <c r="D238" s="118"/>
      <c r="E238" s="119"/>
      <c r="F238" s="118"/>
      <c r="G238" s="118"/>
      <c r="H238" s="119"/>
      <c r="I238" s="118"/>
      <c r="J238" s="118"/>
      <c r="K238" s="119"/>
      <c r="L238" s="118"/>
      <c r="M238" s="118"/>
      <c r="N238" s="119"/>
      <c r="O238" s="118"/>
      <c r="P238" s="118"/>
      <c r="Q238" s="119"/>
      <c r="R238" s="118"/>
      <c r="S238" s="118"/>
      <c r="T238" s="119"/>
      <c r="U238" s="118"/>
      <c r="V238" s="118"/>
      <c r="W238" s="119"/>
      <c r="X238" s="118"/>
      <c r="Y238" s="118"/>
      <c r="Z238" s="119"/>
      <c r="AA238" s="118"/>
      <c r="AB238" s="118"/>
      <c r="AC238" s="119"/>
      <c r="AD238" s="120"/>
      <c r="AE238" s="120"/>
      <c r="AF238" s="122"/>
      <c r="AG238" s="120"/>
      <c r="AH238" s="120"/>
      <c r="AI238" s="122"/>
      <c r="AJ238" s="120">
        <v>122500</v>
      </c>
      <c r="AK238" s="120">
        <v>122500</v>
      </c>
      <c r="AL238" s="122"/>
      <c r="AM238" s="120"/>
      <c r="AN238" s="120"/>
      <c r="AO238" s="122"/>
    </row>
    <row r="239" spans="1:41" ht="27" x14ac:dyDescent="0.3">
      <c r="A239" s="32"/>
      <c r="B239" s="110" t="s">
        <v>69</v>
      </c>
      <c r="C239" s="14"/>
      <c r="D239" s="14"/>
      <c r="E239" s="16"/>
      <c r="F239" s="14"/>
      <c r="G239" s="14"/>
      <c r="H239" s="16"/>
      <c r="I239" s="14"/>
      <c r="J239" s="14"/>
      <c r="K239" s="16"/>
      <c r="L239" s="14"/>
      <c r="M239" s="14"/>
      <c r="N239" s="16"/>
      <c r="O239" s="14"/>
      <c r="P239" s="14"/>
      <c r="Q239" s="16"/>
      <c r="R239" s="14"/>
      <c r="S239" s="14"/>
      <c r="T239" s="16"/>
      <c r="U239" s="14"/>
      <c r="V239" s="14"/>
      <c r="W239" s="16"/>
      <c r="X239" s="14"/>
      <c r="Y239" s="14"/>
      <c r="Z239" s="16"/>
      <c r="AA239" s="14"/>
      <c r="AB239" s="14"/>
      <c r="AC239" s="16"/>
      <c r="AD239" s="112"/>
      <c r="AE239" s="112"/>
      <c r="AF239" s="123"/>
      <c r="AG239" s="112"/>
      <c r="AH239" s="112"/>
      <c r="AI239" s="123"/>
      <c r="AJ239" s="112">
        <f>SUM(AJ240:AJ240)</f>
        <v>304782</v>
      </c>
      <c r="AK239" s="112">
        <v>0</v>
      </c>
      <c r="AL239" s="123">
        <f t="shared" ref="AL239" si="159">AK239/AJ239</f>
        <v>0</v>
      </c>
      <c r="AM239" s="112"/>
      <c r="AN239" s="112"/>
      <c r="AO239" s="113"/>
    </row>
    <row r="240" spans="1:41" s="121" customFormat="1" ht="18.75" hidden="1" x14ac:dyDescent="0.3">
      <c r="A240" s="116"/>
      <c r="B240" s="138" t="s">
        <v>42</v>
      </c>
      <c r="C240" s="118"/>
      <c r="D240" s="118"/>
      <c r="E240" s="119"/>
      <c r="F240" s="118"/>
      <c r="G240" s="118"/>
      <c r="H240" s="119"/>
      <c r="I240" s="118"/>
      <c r="J240" s="118"/>
      <c r="K240" s="119"/>
      <c r="L240" s="118"/>
      <c r="M240" s="118"/>
      <c r="N240" s="119"/>
      <c r="O240" s="118"/>
      <c r="P240" s="118"/>
      <c r="Q240" s="119"/>
      <c r="R240" s="118"/>
      <c r="S240" s="118"/>
      <c r="T240" s="119"/>
      <c r="U240" s="118"/>
      <c r="V240" s="118"/>
      <c r="W240" s="119"/>
      <c r="X240" s="118"/>
      <c r="Y240" s="118"/>
      <c r="Z240" s="119"/>
      <c r="AA240" s="118"/>
      <c r="AB240" s="118"/>
      <c r="AC240" s="119"/>
      <c r="AD240" s="120"/>
      <c r="AE240" s="120"/>
      <c r="AF240" s="122"/>
      <c r="AG240" s="120"/>
      <c r="AH240" s="120"/>
      <c r="AI240" s="122"/>
      <c r="AJ240" s="120">
        <v>304782</v>
      </c>
      <c r="AK240" s="120">
        <v>304782</v>
      </c>
      <c r="AL240" s="122"/>
      <c r="AM240" s="120"/>
      <c r="AN240" s="120"/>
      <c r="AO240" s="122"/>
    </row>
    <row r="241" spans="1:41" ht="39.75" x14ac:dyDescent="0.3">
      <c r="A241" s="140"/>
      <c r="B241" s="147" t="s">
        <v>70</v>
      </c>
      <c r="C241" s="142"/>
      <c r="D241" s="142"/>
      <c r="E241" s="143"/>
      <c r="F241" s="142"/>
      <c r="G241" s="142"/>
      <c r="H241" s="143"/>
      <c r="I241" s="142"/>
      <c r="J241" s="142"/>
      <c r="K241" s="143"/>
      <c r="L241" s="142"/>
      <c r="M241" s="142"/>
      <c r="N241" s="143"/>
      <c r="O241" s="142"/>
      <c r="P241" s="142"/>
      <c r="Q241" s="143"/>
      <c r="R241" s="142"/>
      <c r="S241" s="142"/>
      <c r="T241" s="143"/>
      <c r="U241" s="142"/>
      <c r="V241" s="142"/>
      <c r="W241" s="143"/>
      <c r="X241" s="142"/>
      <c r="Y241" s="142"/>
      <c r="Z241" s="143"/>
      <c r="AA241" s="142"/>
      <c r="AB241" s="142"/>
      <c r="AC241" s="143"/>
      <c r="AD241" s="144"/>
      <c r="AE241" s="144"/>
      <c r="AF241" s="145"/>
      <c r="AG241" s="144"/>
      <c r="AH241" s="144"/>
      <c r="AI241" s="145"/>
      <c r="AJ241" s="144">
        <f>SUM(AJ242:AJ242)</f>
        <v>31406.89</v>
      </c>
      <c r="AK241" s="144">
        <v>27469.39</v>
      </c>
      <c r="AL241" s="145">
        <f t="shared" ref="AL241" si="160">AK241/AJ241</f>
        <v>0.87462942048703329</v>
      </c>
      <c r="AM241" s="144"/>
      <c r="AN241" s="144"/>
      <c r="AO241" s="148"/>
    </row>
    <row r="242" spans="1:41" s="121" customFormat="1" ht="18.75" hidden="1" x14ac:dyDescent="0.3">
      <c r="A242" s="116"/>
      <c r="B242" s="138" t="s">
        <v>8</v>
      </c>
      <c r="C242" s="118"/>
      <c r="D242" s="118"/>
      <c r="E242" s="119"/>
      <c r="F242" s="118"/>
      <c r="G242" s="118"/>
      <c r="H242" s="119"/>
      <c r="I242" s="118"/>
      <c r="J242" s="118"/>
      <c r="K242" s="119"/>
      <c r="L242" s="118"/>
      <c r="M242" s="118"/>
      <c r="N242" s="119"/>
      <c r="O242" s="118"/>
      <c r="P242" s="118"/>
      <c r="Q242" s="119"/>
      <c r="R242" s="118"/>
      <c r="S242" s="118"/>
      <c r="T242" s="119"/>
      <c r="U242" s="118"/>
      <c r="V242" s="118"/>
      <c r="W242" s="119"/>
      <c r="X242" s="118"/>
      <c r="Y242" s="118"/>
      <c r="Z242" s="119"/>
      <c r="AA242" s="118"/>
      <c r="AB242" s="118"/>
      <c r="AC242" s="119"/>
      <c r="AD242" s="120"/>
      <c r="AE242" s="120"/>
      <c r="AF242" s="122"/>
      <c r="AG242" s="120"/>
      <c r="AH242" s="120"/>
      <c r="AI242" s="122"/>
      <c r="AJ242" s="120">
        <v>31406.89</v>
      </c>
      <c r="AK242" s="120">
        <v>31406.89</v>
      </c>
      <c r="AL242" s="122"/>
      <c r="AM242" s="120"/>
      <c r="AN242" s="120"/>
      <c r="AO242" s="122"/>
    </row>
    <row r="243" spans="1:41" ht="39.75" x14ac:dyDescent="0.3">
      <c r="A243" s="140"/>
      <c r="B243" s="147" t="s">
        <v>71</v>
      </c>
      <c r="C243" s="142"/>
      <c r="D243" s="142"/>
      <c r="E243" s="143"/>
      <c r="F243" s="142"/>
      <c r="G243" s="142"/>
      <c r="H243" s="143"/>
      <c r="I243" s="142"/>
      <c r="J243" s="142"/>
      <c r="K243" s="143"/>
      <c r="L243" s="142"/>
      <c r="M243" s="142"/>
      <c r="N243" s="143"/>
      <c r="O243" s="142"/>
      <c r="P243" s="142"/>
      <c r="Q243" s="143"/>
      <c r="R243" s="142"/>
      <c r="S243" s="142"/>
      <c r="T243" s="143"/>
      <c r="U243" s="142"/>
      <c r="V243" s="142"/>
      <c r="W243" s="143"/>
      <c r="X243" s="142"/>
      <c r="Y243" s="142"/>
      <c r="Z243" s="143"/>
      <c r="AA243" s="142"/>
      <c r="AB243" s="142"/>
      <c r="AC243" s="143"/>
      <c r="AD243" s="144"/>
      <c r="AE243" s="144"/>
      <c r="AF243" s="145"/>
      <c r="AG243" s="144"/>
      <c r="AH243" s="144"/>
      <c r="AI243" s="145"/>
      <c r="AJ243" s="144">
        <f>SUM(AJ244:AJ244)</f>
        <v>374215.67999999999</v>
      </c>
      <c r="AK243" s="144">
        <v>300201.27</v>
      </c>
      <c r="AL243" s="145">
        <f t="shared" ref="AL243" si="161">AK243/AJ243</f>
        <v>0.80221456781287204</v>
      </c>
      <c r="AM243" s="144"/>
      <c r="AN243" s="144"/>
      <c r="AO243" s="148"/>
    </row>
    <row r="244" spans="1:41" s="121" customFormat="1" ht="18.75" hidden="1" x14ac:dyDescent="0.3">
      <c r="A244" s="116"/>
      <c r="B244" s="138" t="s">
        <v>8</v>
      </c>
      <c r="C244" s="118"/>
      <c r="D244" s="118"/>
      <c r="E244" s="119"/>
      <c r="F244" s="118"/>
      <c r="G244" s="118"/>
      <c r="H244" s="119"/>
      <c r="I244" s="118"/>
      <c r="J244" s="118"/>
      <c r="K244" s="119"/>
      <c r="L244" s="118"/>
      <c r="M244" s="118"/>
      <c r="N244" s="119"/>
      <c r="O244" s="118"/>
      <c r="P244" s="118"/>
      <c r="Q244" s="119"/>
      <c r="R244" s="118"/>
      <c r="S244" s="118"/>
      <c r="T244" s="119"/>
      <c r="U244" s="118"/>
      <c r="V244" s="118"/>
      <c r="W244" s="119"/>
      <c r="X244" s="118"/>
      <c r="Y244" s="118"/>
      <c r="Z244" s="119"/>
      <c r="AA244" s="118"/>
      <c r="AB244" s="118"/>
      <c r="AC244" s="119"/>
      <c r="AD244" s="120"/>
      <c r="AE244" s="120"/>
      <c r="AF244" s="122"/>
      <c r="AG244" s="120"/>
      <c r="AH244" s="120"/>
      <c r="AI244" s="122"/>
      <c r="AJ244" s="120">
        <v>374215.67999999999</v>
      </c>
      <c r="AK244" s="120">
        <v>374215.67999999999</v>
      </c>
      <c r="AL244" s="122"/>
      <c r="AM244" s="120"/>
      <c r="AN244" s="120"/>
      <c r="AO244" s="122"/>
    </row>
    <row r="245" spans="1:41" ht="39.75" x14ac:dyDescent="0.3">
      <c r="A245" s="32"/>
      <c r="B245" s="110" t="s">
        <v>72</v>
      </c>
      <c r="C245" s="14"/>
      <c r="D245" s="14"/>
      <c r="E245" s="16"/>
      <c r="F245" s="14"/>
      <c r="G245" s="14"/>
      <c r="H245" s="16"/>
      <c r="I245" s="14"/>
      <c r="J245" s="14"/>
      <c r="K245" s="16"/>
      <c r="L245" s="14"/>
      <c r="M245" s="14"/>
      <c r="N245" s="16"/>
      <c r="O245" s="14"/>
      <c r="P245" s="14"/>
      <c r="Q245" s="16"/>
      <c r="R245" s="14"/>
      <c r="S245" s="14"/>
      <c r="T245" s="16"/>
      <c r="U245" s="14"/>
      <c r="V245" s="14"/>
      <c r="W245" s="16"/>
      <c r="X245" s="14"/>
      <c r="Y245" s="14"/>
      <c r="Z245" s="16"/>
      <c r="AA245" s="14"/>
      <c r="AB245" s="14"/>
      <c r="AC245" s="16"/>
      <c r="AD245" s="112"/>
      <c r="AE245" s="112"/>
      <c r="AF245" s="123"/>
      <c r="AG245" s="114"/>
      <c r="AH245" s="112"/>
      <c r="AI245" s="113"/>
      <c r="AJ245" s="112">
        <f>SUM(AJ246:AJ246)</f>
        <v>370825.01</v>
      </c>
      <c r="AK245" s="112">
        <v>195426.31</v>
      </c>
      <c r="AL245" s="123">
        <f t="shared" ref="AL245" si="162">AK245/AJ245</f>
        <v>0.52700412520719675</v>
      </c>
      <c r="AM245" s="112"/>
      <c r="AN245" s="112"/>
      <c r="AO245" s="113"/>
    </row>
    <row r="246" spans="1:41" s="121" customFormat="1" ht="18.75" hidden="1" x14ac:dyDescent="0.3">
      <c r="A246" s="116"/>
      <c r="B246" s="117" t="s">
        <v>8</v>
      </c>
      <c r="C246" s="118"/>
      <c r="D246" s="118"/>
      <c r="E246" s="119"/>
      <c r="F246" s="118"/>
      <c r="G246" s="118"/>
      <c r="H246" s="119"/>
      <c r="I246" s="118"/>
      <c r="J246" s="118"/>
      <c r="K246" s="119"/>
      <c r="L246" s="118"/>
      <c r="M246" s="118"/>
      <c r="N246" s="119"/>
      <c r="O246" s="118"/>
      <c r="P246" s="118"/>
      <c r="Q246" s="119"/>
      <c r="R246" s="118"/>
      <c r="S246" s="118"/>
      <c r="T246" s="119"/>
      <c r="U246" s="118"/>
      <c r="V246" s="118"/>
      <c r="W246" s="119"/>
      <c r="X246" s="14"/>
      <c r="Y246" s="14"/>
      <c r="Z246" s="16"/>
      <c r="AA246" s="14"/>
      <c r="AB246" s="14"/>
      <c r="AC246" s="119"/>
      <c r="AD246" s="120"/>
      <c r="AE246" s="120"/>
      <c r="AF246" s="119"/>
      <c r="AG246" s="120"/>
      <c r="AH246" s="120"/>
      <c r="AI246" s="122"/>
      <c r="AJ246" s="120">
        <v>370825.01</v>
      </c>
      <c r="AK246" s="120">
        <v>370825.01</v>
      </c>
      <c r="AL246" s="122"/>
      <c r="AM246" s="120"/>
      <c r="AN246" s="120"/>
      <c r="AO246" s="122"/>
    </row>
    <row r="247" spans="1:41" x14ac:dyDescent="0.25">
      <c r="A247" s="35"/>
      <c r="C247" s="52"/>
      <c r="D247" s="52"/>
      <c r="E247" s="52"/>
      <c r="F247" s="52"/>
      <c r="G247" s="52"/>
      <c r="H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14"/>
      <c r="Y247" s="14"/>
      <c r="Z247" s="16"/>
      <c r="AA247" s="14"/>
      <c r="AB247" s="14"/>
      <c r="AC247" s="52"/>
      <c r="AD247" s="112"/>
      <c r="AE247" s="112"/>
      <c r="AF247" s="16"/>
      <c r="AG247" s="114"/>
      <c r="AH247" s="112"/>
      <c r="AI247" s="113"/>
      <c r="AJ247" s="112"/>
      <c r="AK247" s="112"/>
      <c r="AL247" s="113"/>
      <c r="AM247" s="112"/>
      <c r="AN247" s="112"/>
      <c r="AO247" s="43"/>
    </row>
    <row r="248" spans="1:41" ht="15.75" thickBot="1" x14ac:dyDescent="0.3">
      <c r="A248" s="125" t="s">
        <v>92</v>
      </c>
      <c r="B248" s="46"/>
      <c r="C248" s="22">
        <f>C247+C176</f>
        <v>0</v>
      </c>
      <c r="D248" s="22">
        <f>D247+D176</f>
        <v>0</v>
      </c>
      <c r="E248" s="16" t="e">
        <f>D248/C248</f>
        <v>#DIV/0!</v>
      </c>
      <c r="F248" s="22">
        <f>F247+F176</f>
        <v>0</v>
      </c>
      <c r="G248" s="22">
        <f>G247+G176</f>
        <v>0</v>
      </c>
      <c r="H248" s="16" t="e">
        <f t="shared" ref="H248" si="163">G248/F248</f>
        <v>#DIV/0!</v>
      </c>
      <c r="I248" s="22">
        <f>I247+I176</f>
        <v>0</v>
      </c>
      <c r="J248" s="22">
        <f>J247+J176</f>
        <v>0</v>
      </c>
      <c r="K248" s="16" t="e">
        <f t="shared" ref="K248" si="164">J248/I248</f>
        <v>#DIV/0!</v>
      </c>
      <c r="L248" s="22">
        <f>L247+L176</f>
        <v>0</v>
      </c>
      <c r="M248" s="22">
        <f>M247+M176</f>
        <v>0</v>
      </c>
      <c r="N248" s="16" t="e">
        <f t="shared" ref="N248" si="165">M248/L248</f>
        <v>#DIV/0!</v>
      </c>
      <c r="O248" s="22">
        <f>O247+O176</f>
        <v>0</v>
      </c>
      <c r="P248" s="22">
        <f>P247+P176</f>
        <v>0</v>
      </c>
      <c r="Q248" s="16" t="e">
        <f t="shared" ref="Q248" si="166">P248/O248</f>
        <v>#DIV/0!</v>
      </c>
      <c r="R248" s="22">
        <f>R247+R176</f>
        <v>0</v>
      </c>
      <c r="S248" s="22">
        <f>S247+S176</f>
        <v>0</v>
      </c>
      <c r="T248" s="16" t="e">
        <f>S248/R248</f>
        <v>#DIV/0!</v>
      </c>
      <c r="U248" s="22">
        <f>U247+U176</f>
        <v>0</v>
      </c>
      <c r="V248" s="22">
        <f>V247+V176</f>
        <v>0</v>
      </c>
      <c r="W248" s="16" t="e">
        <f>V248/U248</f>
        <v>#DIV/0!</v>
      </c>
      <c r="X248" s="22">
        <f>X247+X176</f>
        <v>0</v>
      </c>
      <c r="Y248" s="22">
        <f>Y247+Y176</f>
        <v>0</v>
      </c>
      <c r="Z248" s="136" t="s">
        <v>55</v>
      </c>
      <c r="AA248" s="22">
        <f>AA247+AA176</f>
        <v>0</v>
      </c>
      <c r="AB248" s="22">
        <f>AB247+AB176</f>
        <v>0</v>
      </c>
      <c r="AC248" s="136" t="s">
        <v>55</v>
      </c>
      <c r="AD248" s="22">
        <f>AD220+AD223+AD225+AD228</f>
        <v>20588976.5</v>
      </c>
      <c r="AE248" s="22">
        <f>AE220+AE223+AE225+AE228</f>
        <v>17323731.18</v>
      </c>
      <c r="AF248" s="136">
        <f>AE248/AD248</f>
        <v>0.84140807970711895</v>
      </c>
      <c r="AG248" s="22">
        <f>AG220+AG230</f>
        <v>3257747.17</v>
      </c>
      <c r="AH248" s="22">
        <f>AH220+AH230</f>
        <v>3257520.75</v>
      </c>
      <c r="AI248" s="136">
        <f>AH248/AG248</f>
        <v>0.99993049798275169</v>
      </c>
      <c r="AJ248" s="22">
        <f>AJ220+AJ233+AJ235+AJ237+AJ239+AJ241+AJ243+AJ245</f>
        <v>2091561.3399999999</v>
      </c>
      <c r="AK248" s="22">
        <f>AK220+AK233+AK235+AK237+AK239+AK241+AK243+AK245</f>
        <v>1061069.18</v>
      </c>
      <c r="AL248" s="136">
        <f>AK248/AJ248</f>
        <v>0.50730961588723955</v>
      </c>
      <c r="AM248" s="22">
        <f>AM220+AM233+AM235+AM237+AM239+AM241+AM243+AM245</f>
        <v>0</v>
      </c>
      <c r="AN248" s="22">
        <f>AN220+AN233+AN235+AN237+AN239+AN241+AN243+AN245</f>
        <v>0</v>
      </c>
      <c r="AO248" s="154">
        <v>0</v>
      </c>
    </row>
    <row r="249" spans="1:41" ht="16.5" thickTop="1" thickBot="1" x14ac:dyDescent="0.3">
      <c r="A249" s="35"/>
      <c r="C249" s="52"/>
      <c r="D249" s="52"/>
      <c r="E249" s="52"/>
      <c r="F249" s="52"/>
      <c r="G249" s="52"/>
      <c r="H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43"/>
    </row>
    <row r="250" spans="1:41" x14ac:dyDescent="0.25">
      <c r="A250" s="131" t="s">
        <v>91</v>
      </c>
      <c r="B250" s="132"/>
      <c r="C250" s="133"/>
      <c r="D250" s="133"/>
      <c r="E250" s="133"/>
      <c r="F250" s="133"/>
      <c r="G250" s="133"/>
      <c r="H250" s="133"/>
      <c r="I250" s="132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4"/>
      <c r="AE250" s="133"/>
      <c r="AF250" s="134"/>
      <c r="AG250" s="133"/>
      <c r="AH250" s="134"/>
      <c r="AI250" s="133"/>
      <c r="AJ250" s="134"/>
      <c r="AK250" s="133"/>
      <c r="AL250" s="134"/>
      <c r="AM250" s="133"/>
      <c r="AN250" s="134"/>
      <c r="AO250" s="135"/>
    </row>
    <row r="251" spans="1:41" x14ac:dyDescent="0.25">
      <c r="A251" s="35"/>
      <c r="B251" t="s">
        <v>50</v>
      </c>
      <c r="C251" s="52">
        <f>C88+C93+C117+C122+C130+C134+C142+C147+C162+C167</f>
        <v>1064000</v>
      </c>
      <c r="D251" s="52">
        <f>D88+D93+D117+D122+D130+D134+D142+D147+D162+D167</f>
        <v>593629.54</v>
      </c>
      <c r="E251" s="67">
        <f>D251/C251</f>
        <v>0.55792249999999999</v>
      </c>
      <c r="F251" s="52">
        <f>F88+F93+F117+F122+F130+F134+F142+F147+F162+F167</f>
        <v>781000</v>
      </c>
      <c r="G251" s="52">
        <f>G88+G93+G117+G122+G130+G134+G142+G147+G162+G167</f>
        <v>530727.92000000004</v>
      </c>
      <c r="H251" s="67">
        <f>G251/F251</f>
        <v>0.67954919334186947</v>
      </c>
      <c r="I251" s="52">
        <f>I88+I93+I117+I122+I130+I134+I142+I147+I162+I167</f>
        <v>742000</v>
      </c>
      <c r="J251" s="52">
        <f>J88+J93+J117+J122+J130+J134+J142+J147+J162+J167</f>
        <v>676393</v>
      </c>
      <c r="K251" s="67">
        <f>J251/I251</f>
        <v>0.91158086253369275</v>
      </c>
      <c r="L251" s="52">
        <f>L88+L93+L117+L122+L130+L134+L142+L147+L162+L167</f>
        <v>766340</v>
      </c>
      <c r="M251" s="52">
        <f>M88+M93+M117+M122+M130+M134+M142+M147+M162+M167</f>
        <v>764384.7</v>
      </c>
      <c r="N251" s="67">
        <f>M251/L251</f>
        <v>0.99744852154396213</v>
      </c>
      <c r="O251" s="52">
        <f>O88+O93+O117+O122+O130+O134+O142+O147+O162+O167</f>
        <v>666655</v>
      </c>
      <c r="P251" s="52">
        <f>P88+P93+P117+P122+P130+P134+P142+P147+P162+P167</f>
        <v>715030.29999999993</v>
      </c>
      <c r="Q251" s="67">
        <f>P251/O251</f>
        <v>1.0725642198738476</v>
      </c>
      <c r="R251" s="52">
        <f>R88+R93+R117+R122+R130+R134+R142+R147+R162+R167</f>
        <v>681147</v>
      </c>
      <c r="S251" s="52">
        <f>S88+S93+S117+S122+S130+S134+S142+S147+S162+S167</f>
        <v>673109</v>
      </c>
      <c r="T251" s="67">
        <f>S251/R251</f>
        <v>0.98819931674073291</v>
      </c>
      <c r="U251" s="52">
        <f>U88+U93+U117+U122+U130+U134+U142+U147+U162+U167</f>
        <v>469329</v>
      </c>
      <c r="V251" s="52">
        <f>V88+V93+V117+V122+V130+V134+V142+V147+V162+V167</f>
        <v>504370.43</v>
      </c>
      <c r="W251" s="67">
        <f>V251/U251</f>
        <v>1.0746628271425802</v>
      </c>
      <c r="X251" s="52">
        <v>0</v>
      </c>
      <c r="Y251" s="52">
        <v>0</v>
      </c>
      <c r="Z251" s="67" t="s">
        <v>55</v>
      </c>
      <c r="AA251" s="52">
        <v>0</v>
      </c>
      <c r="AB251" s="52">
        <v>0</v>
      </c>
      <c r="AC251" s="67" t="s">
        <v>55</v>
      </c>
      <c r="AD251" s="14"/>
      <c r="AE251" s="14"/>
      <c r="AF251" s="124"/>
      <c r="AG251" s="14"/>
      <c r="AH251" s="14"/>
      <c r="AI251" s="67"/>
      <c r="AJ251" s="14"/>
      <c r="AK251" s="52"/>
      <c r="AL251" s="72"/>
      <c r="AM251" s="52"/>
      <c r="AN251" s="14"/>
      <c r="AO251" s="70"/>
    </row>
    <row r="252" spans="1:41" x14ac:dyDescent="0.25">
      <c r="A252" s="35"/>
      <c r="B252" t="s">
        <v>8</v>
      </c>
      <c r="C252" s="52">
        <f>C89+C94+C118+C123+C131+C135+C143+C148+C163+C168</f>
        <v>0</v>
      </c>
      <c r="D252" s="52">
        <f>D89+D94+D118+D123+D131+D135+D143+D148+D163+D168</f>
        <v>0</v>
      </c>
      <c r="E252" s="67" t="e">
        <f t="shared" ref="E252:E254" si="167">D252/C252</f>
        <v>#DIV/0!</v>
      </c>
      <c r="F252" s="52">
        <f>F89+F94+F118+F123+F131+F135+F143+F148+F163+F168</f>
        <v>0</v>
      </c>
      <c r="G252" s="52">
        <f>G89+G94+G118+G123+G131+G135+G143+G148+G163+G168</f>
        <v>0</v>
      </c>
      <c r="H252" s="67" t="e">
        <f t="shared" ref="H252:H254" si="168">G252/F252</f>
        <v>#DIV/0!</v>
      </c>
      <c r="I252" s="52">
        <f>I89+I94+I118+I123+I131+I135+I143+I148+I163+I168</f>
        <v>0</v>
      </c>
      <c r="J252" s="52">
        <f>J89+J94+J118+J123+J131+J135+J143+J148+J163+J168</f>
        <v>0</v>
      </c>
      <c r="K252" s="67" t="e">
        <f t="shared" ref="K252:K254" si="169">J252/I252</f>
        <v>#DIV/0!</v>
      </c>
      <c r="L252" s="52">
        <f>L89+L94+L118+L123+L131+L135+L143+L148+L163+L168</f>
        <v>0</v>
      </c>
      <c r="M252" s="52">
        <f>M89+M94+M118+M123+M131+M135+M143+M148+M163+M168</f>
        <v>0</v>
      </c>
      <c r="N252" s="67" t="e">
        <f t="shared" ref="N252:N254" si="170">M252/L252</f>
        <v>#DIV/0!</v>
      </c>
      <c r="O252" s="52">
        <f>O89+O94+O118+O123+O131+O135+O143+O148+O163+O168</f>
        <v>0</v>
      </c>
      <c r="P252" s="52">
        <f>P89+P94+P118+P123+P131+P135+P143+P148+P163+P168</f>
        <v>0</v>
      </c>
      <c r="Q252" s="67" t="e">
        <f t="shared" ref="Q252:Q254" si="171">P252/O252</f>
        <v>#DIV/0!</v>
      </c>
      <c r="R252" s="52">
        <f>R89+R94+R118+R123+R131+R135+R143+R148+R163+R168</f>
        <v>0</v>
      </c>
      <c r="S252" s="52">
        <f>S89+S94+S118+S123+S131+S135+S143+S148+S163+S168</f>
        <v>0</v>
      </c>
      <c r="T252" s="67" t="e">
        <f t="shared" ref="T252:T254" si="172">S252/R252</f>
        <v>#DIV/0!</v>
      </c>
      <c r="U252" s="52">
        <f>U89+U94+U118+U123+U131+U135+U143+U148+U163+U168</f>
        <v>0</v>
      </c>
      <c r="V252" s="52">
        <f>V89+V94+V118+V123+V131+V135+V143+V148+V163+V168</f>
        <v>0</v>
      </c>
      <c r="W252" s="67" t="e">
        <f t="shared" ref="W252:W254" si="173">V252/U252</f>
        <v>#DIV/0!</v>
      </c>
      <c r="X252" s="52">
        <f>X89+X94+X118+X123+X131+X135+X143+X148+X163+X168</f>
        <v>0</v>
      </c>
      <c r="Y252" s="52">
        <f>Y89+Y94+Y118+Y123+Y131+Y135+Y143+Y148+Y163+Y168</f>
        <v>0</v>
      </c>
      <c r="Z252" s="67" t="s">
        <v>55</v>
      </c>
      <c r="AA252" s="52">
        <f>AA89+AA94+AA118+AA123+AA131+AA135+AA143+AA148+AA163+AA168+AA105+AA110</f>
        <v>0</v>
      </c>
      <c r="AB252" s="52">
        <f>AB89+AB94+AB118+AB123+AB131+AB135+AB143+AB148+AB163+AB168+AB105+AB110</f>
        <v>0</v>
      </c>
      <c r="AC252" s="67" t="s">
        <v>55</v>
      </c>
      <c r="AD252" s="14">
        <f>AD222+AD224+AD226+AD229</f>
        <v>9488976.5</v>
      </c>
      <c r="AE252" s="14">
        <f>AE222+AE224+AE226+AE229</f>
        <v>6366889.1799999997</v>
      </c>
      <c r="AF252" s="124">
        <f t="shared" ref="AF252:AF253" si="174">AE252/AD252</f>
        <v>0.67097744208766874</v>
      </c>
      <c r="AG252" s="14">
        <f>AG222</f>
        <v>1977100</v>
      </c>
      <c r="AH252" s="14">
        <f>AH222</f>
        <v>1977100</v>
      </c>
      <c r="AI252" s="72">
        <f t="shared" ref="AI252:AI254" si="175">AH252/AG252</f>
        <v>1</v>
      </c>
      <c r="AJ252" s="43">
        <f>AJ222+AJ234+AJ236+AJ238+AJ242+AJ244+AJ246</f>
        <v>1786779.34</v>
      </c>
      <c r="AK252" s="43">
        <f>AK220+AK233+AK235+AK237+AK241+AK243+AK245</f>
        <v>1061069.18</v>
      </c>
      <c r="AL252" s="72">
        <f t="shared" ref="AL252:AL254" si="176">AK252/AJ252</f>
        <v>0.59384455385520629</v>
      </c>
      <c r="AM252" s="52"/>
      <c r="AN252" s="14"/>
      <c r="AO252" s="70"/>
    </row>
    <row r="253" spans="1:41" x14ac:dyDescent="0.25">
      <c r="A253" s="35"/>
      <c r="B253" t="s">
        <v>47</v>
      </c>
      <c r="C253" s="52" t="e">
        <f>#REF!</f>
        <v>#REF!</v>
      </c>
      <c r="D253" s="52" t="e">
        <f>#REF!</f>
        <v>#REF!</v>
      </c>
      <c r="E253" s="67" t="e">
        <f t="shared" si="167"/>
        <v>#REF!</v>
      </c>
      <c r="F253" s="52" t="e">
        <f>#REF!</f>
        <v>#REF!</v>
      </c>
      <c r="G253" s="52" t="e">
        <f>#REF!</f>
        <v>#REF!</v>
      </c>
      <c r="H253" s="67" t="e">
        <f t="shared" si="168"/>
        <v>#REF!</v>
      </c>
      <c r="I253" s="52" t="e">
        <f>#REF!</f>
        <v>#REF!</v>
      </c>
      <c r="J253" s="52" t="e">
        <f>#REF!</f>
        <v>#REF!</v>
      </c>
      <c r="K253" s="67" t="e">
        <f t="shared" si="169"/>
        <v>#REF!</v>
      </c>
      <c r="L253" s="52" t="e">
        <f>#REF!</f>
        <v>#REF!</v>
      </c>
      <c r="M253" s="52" t="e">
        <f>#REF!</f>
        <v>#REF!</v>
      </c>
      <c r="N253" s="67" t="e">
        <f t="shared" si="170"/>
        <v>#REF!</v>
      </c>
      <c r="O253" s="52" t="e">
        <f>#REF!</f>
        <v>#REF!</v>
      </c>
      <c r="P253" s="52" t="e">
        <f>#REF!</f>
        <v>#REF!</v>
      </c>
      <c r="Q253" s="67" t="e">
        <f t="shared" si="171"/>
        <v>#REF!</v>
      </c>
      <c r="R253" s="52" t="e">
        <f>#REF!+R107</f>
        <v>#REF!</v>
      </c>
      <c r="S253" s="52" t="e">
        <f>#REF!+S107</f>
        <v>#REF!</v>
      </c>
      <c r="T253" s="67" t="e">
        <f t="shared" si="172"/>
        <v>#REF!</v>
      </c>
      <c r="U253" s="52" t="e">
        <f>#REF!+U107</f>
        <v>#REF!</v>
      </c>
      <c r="V253" s="52" t="e">
        <f>#REF!+V107</f>
        <v>#REF!</v>
      </c>
      <c r="W253" s="67" t="e">
        <f t="shared" si="173"/>
        <v>#REF!</v>
      </c>
      <c r="X253" s="52">
        <v>0</v>
      </c>
      <c r="Y253" s="52">
        <v>0</v>
      </c>
      <c r="Z253" s="67" t="s">
        <v>55</v>
      </c>
      <c r="AA253" s="52">
        <v>0</v>
      </c>
      <c r="AB253" s="52">
        <v>0</v>
      </c>
      <c r="AC253" s="67" t="s">
        <v>55</v>
      </c>
      <c r="AD253" s="26">
        <f>AD227</f>
        <v>11100000</v>
      </c>
      <c r="AE253" s="26">
        <f>AE227</f>
        <v>10956842</v>
      </c>
      <c r="AF253" s="79">
        <f t="shared" si="174"/>
        <v>0.98710288288288284</v>
      </c>
      <c r="AG253" s="52">
        <f>AG232</f>
        <v>1280647.17</v>
      </c>
      <c r="AH253" s="26">
        <f>AH232</f>
        <v>1280420.75</v>
      </c>
      <c r="AI253" s="67">
        <f t="shared" si="175"/>
        <v>0.99982319876598025</v>
      </c>
      <c r="AJ253" s="26">
        <f>AJ240</f>
        <v>304782</v>
      </c>
      <c r="AK253" s="26">
        <f>AK239</f>
        <v>0</v>
      </c>
      <c r="AL253" s="79">
        <f t="shared" si="176"/>
        <v>0</v>
      </c>
      <c r="AM253" s="52"/>
      <c r="AN253" s="26"/>
      <c r="AO253" s="70"/>
    </row>
    <row r="254" spans="1:41" s="3" customFormat="1" ht="15.75" thickBot="1" x14ac:dyDescent="0.3">
      <c r="A254" s="80"/>
      <c r="B254" s="76" t="s">
        <v>36</v>
      </c>
      <c r="C254" s="77" t="e">
        <f t="shared" ref="C254:D254" si="177">SUM(C251:C253)</f>
        <v>#REF!</v>
      </c>
      <c r="D254" s="77" t="e">
        <f t="shared" si="177"/>
        <v>#REF!</v>
      </c>
      <c r="E254" s="81" t="e">
        <f t="shared" si="167"/>
        <v>#REF!</v>
      </c>
      <c r="F254" s="77" t="e">
        <f>SUM(F251:F253)</f>
        <v>#REF!</v>
      </c>
      <c r="G254" s="77" t="e">
        <f>SUM(G251:G253)</f>
        <v>#REF!</v>
      </c>
      <c r="H254" s="81" t="e">
        <f t="shared" si="168"/>
        <v>#REF!</v>
      </c>
      <c r="I254" s="77" t="e">
        <f t="shared" ref="I254:J254" si="178">SUM(I251:I253)</f>
        <v>#REF!</v>
      </c>
      <c r="J254" s="77" t="e">
        <f t="shared" si="178"/>
        <v>#REF!</v>
      </c>
      <c r="K254" s="81" t="e">
        <f t="shared" si="169"/>
        <v>#REF!</v>
      </c>
      <c r="L254" s="77" t="e">
        <f t="shared" ref="L254:M254" si="179">SUM(L251:L253)</f>
        <v>#REF!</v>
      </c>
      <c r="M254" s="77" t="e">
        <f t="shared" si="179"/>
        <v>#REF!</v>
      </c>
      <c r="N254" s="81" t="e">
        <f t="shared" si="170"/>
        <v>#REF!</v>
      </c>
      <c r="O254" s="77" t="e">
        <f>SUM(O251:O253)</f>
        <v>#REF!</v>
      </c>
      <c r="P254" s="77" t="e">
        <f t="shared" ref="P254" si="180">SUM(P251:P253)</f>
        <v>#REF!</v>
      </c>
      <c r="Q254" s="81" t="e">
        <f t="shared" si="171"/>
        <v>#REF!</v>
      </c>
      <c r="R254" s="77" t="e">
        <f>SUM(R251:R253)</f>
        <v>#REF!</v>
      </c>
      <c r="S254" s="77" t="e">
        <f t="shared" ref="S254" si="181">SUM(S251:S253)</f>
        <v>#REF!</v>
      </c>
      <c r="T254" s="81" t="e">
        <f t="shared" si="172"/>
        <v>#REF!</v>
      </c>
      <c r="U254" s="77" t="e">
        <f>SUM(U251:U253)</f>
        <v>#REF!</v>
      </c>
      <c r="V254" s="77" t="e">
        <f t="shared" ref="V254" si="182">SUM(V251:V253)</f>
        <v>#REF!</v>
      </c>
      <c r="W254" s="81" t="e">
        <f t="shared" si="173"/>
        <v>#REF!</v>
      </c>
      <c r="X254" s="77">
        <f>SUM(X251:X253)</f>
        <v>0</v>
      </c>
      <c r="Y254" s="77">
        <f t="shared" ref="Y254" si="183">SUM(Y251:Y253)</f>
        <v>0</v>
      </c>
      <c r="Z254" s="81" t="s">
        <v>55</v>
      </c>
      <c r="AA254" s="77">
        <f t="shared" ref="AA254:AB254" si="184">SUM(AA251:AA253)</f>
        <v>0</v>
      </c>
      <c r="AB254" s="77">
        <f t="shared" si="184"/>
        <v>0</v>
      </c>
      <c r="AC254" s="81" t="s">
        <v>55</v>
      </c>
      <c r="AD254" s="22">
        <f t="shared" ref="AD254:AE254" si="185">SUM(AD251:AD253)</f>
        <v>20588976.5</v>
      </c>
      <c r="AE254" s="77">
        <f t="shared" si="185"/>
        <v>17323731.18</v>
      </c>
      <c r="AF254" s="83">
        <f>AE254/AD254</f>
        <v>0.84140807970711895</v>
      </c>
      <c r="AG254" s="77">
        <f t="shared" ref="AG254:AH254" si="186">SUM(AG251:AG253)</f>
        <v>3257747.17</v>
      </c>
      <c r="AH254" s="22">
        <f t="shared" si="186"/>
        <v>3257520.75</v>
      </c>
      <c r="AI254" s="81">
        <f t="shared" si="175"/>
        <v>0.99993049798275169</v>
      </c>
      <c r="AJ254" s="22">
        <f>SUM(AJ251:AJ253)</f>
        <v>2091561.34</v>
      </c>
      <c r="AK254" s="77">
        <f t="shared" ref="AK254" si="187">SUM(AK251:AK253)</f>
        <v>1061069.18</v>
      </c>
      <c r="AL254" s="83">
        <f t="shared" si="176"/>
        <v>0.50730961588723944</v>
      </c>
      <c r="AM254" s="77">
        <f t="shared" ref="AM254:AN254" si="188">SUM(AM251:AM253)</f>
        <v>0</v>
      </c>
      <c r="AN254" s="22">
        <f t="shared" si="188"/>
        <v>0</v>
      </c>
      <c r="AO254" s="155">
        <v>0</v>
      </c>
    </row>
    <row r="255" spans="1:41" ht="15.75" thickTop="1" x14ac:dyDescent="0.25">
      <c r="A255" s="35"/>
      <c r="C255" s="52"/>
      <c r="D255" s="52"/>
      <c r="E255" s="52"/>
      <c r="F255" s="52"/>
      <c r="G255" s="52"/>
      <c r="H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43"/>
    </row>
    <row r="256" spans="1:41" hidden="1" x14ac:dyDescent="0.25">
      <c r="A256" s="44"/>
      <c r="B256" s="45"/>
      <c r="C256" s="71"/>
      <c r="D256" s="71"/>
      <c r="E256" s="71"/>
      <c r="F256" s="71"/>
      <c r="G256" s="71"/>
      <c r="H256" s="71"/>
      <c r="I256" s="45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5"/>
    </row>
    <row r="257" spans="1:51" hidden="1" x14ac:dyDescent="0.25">
      <c r="B257" s="3" t="s">
        <v>51</v>
      </c>
      <c r="AD257" s="1" t="str">
        <f>[1]far1_report!$T$232</f>
        <v>546,592,271.00</v>
      </c>
      <c r="AE257" s="1" t="str">
        <f>[1]far1_report!$AB$232</f>
        <v>517,069,510.43</v>
      </c>
      <c r="AF257" s="59">
        <f t="shared" ref="AF257" si="189">AE257/AD257</f>
        <v>0.94598759964902612</v>
      </c>
      <c r="AG257" s="1">
        <f>[2]far1_report!$T$154</f>
        <v>601307574</v>
      </c>
      <c r="AH257" s="1">
        <f>[2]far1_report!$AA$154</f>
        <v>594024235.74000001</v>
      </c>
      <c r="AI257" s="59">
        <f t="shared" ref="AI257" si="190">AH257/AG257</f>
        <v>0.98788749955110333</v>
      </c>
      <c r="AJ257" s="1">
        <f>[3]FAR1!$K$103</f>
        <v>785749134</v>
      </c>
      <c r="AK257" s="1">
        <f>[3]FAR1!$P$103</f>
        <v>783641072.65999997</v>
      </c>
      <c r="AL257" s="59">
        <f t="shared" ref="AL257" si="191">AK257/AJ257</f>
        <v>0.99731713183154458</v>
      </c>
      <c r="AM257" s="1">
        <f>[4]BFARS!$O$568</f>
        <v>1384768708</v>
      </c>
      <c r="AN257" s="1">
        <f>[4]BFARS!$T$568</f>
        <v>1358123844.4300003</v>
      </c>
    </row>
    <row r="258" spans="1:51" s="3" customFormat="1" hidden="1" x14ac:dyDescent="0.25">
      <c r="C258" s="57"/>
      <c r="D258" s="57"/>
      <c r="E258" s="57"/>
      <c r="F258" s="57"/>
      <c r="G258" s="57"/>
      <c r="H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63">
        <f>AD203-AD257</f>
        <v>0</v>
      </c>
      <c r="AE258" s="63">
        <f>AE203-AE257</f>
        <v>0</v>
      </c>
      <c r="AF258" s="63"/>
      <c r="AG258" s="63">
        <f>AG203-AG257</f>
        <v>0</v>
      </c>
      <c r="AH258" s="63">
        <f>AH203-AH257</f>
        <v>0</v>
      </c>
      <c r="AI258" s="63"/>
      <c r="AJ258" s="63">
        <f>AJ203-AJ257</f>
        <v>0</v>
      </c>
      <c r="AK258" s="63">
        <f>AK203-AK257</f>
        <v>0</v>
      </c>
      <c r="AL258" s="63"/>
      <c r="AM258" s="63">
        <f>AM203-AM257</f>
        <v>0</v>
      </c>
      <c r="AN258" s="63">
        <f>AN203-AN257</f>
        <v>0</v>
      </c>
      <c r="AO258" s="63"/>
    </row>
    <row r="259" spans="1:51" hidden="1" x14ac:dyDescent="0.25"/>
    <row r="261" spans="1:51" x14ac:dyDescent="0.25">
      <c r="A261" s="84" t="s">
        <v>31</v>
      </c>
      <c r="B261" s="84"/>
      <c r="C261" s="85"/>
      <c r="D261" s="86"/>
      <c r="E261" s="87"/>
      <c r="F261" s="87"/>
      <c r="G261" s="87"/>
      <c r="H261" s="86"/>
      <c r="I261" s="87"/>
      <c r="J261" s="87"/>
      <c r="K261" s="87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6"/>
      <c r="AS261" s="84"/>
      <c r="AT261" s="84"/>
      <c r="AU261" s="84"/>
      <c r="AV261" s="84"/>
      <c r="AW261" s="84"/>
      <c r="AX261" s="84"/>
      <c r="AY261" s="84"/>
    </row>
    <row r="262" spans="1:51" x14ac:dyDescent="0.25">
      <c r="A262" s="84"/>
      <c r="B262" s="84"/>
      <c r="C262" s="85"/>
      <c r="D262" s="86"/>
      <c r="E262" s="87"/>
      <c r="F262" s="87"/>
      <c r="G262" s="87"/>
      <c r="H262" s="86"/>
      <c r="I262" s="87"/>
      <c r="J262" s="87"/>
      <c r="K262" s="87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6"/>
      <c r="AQ262" s="86"/>
      <c r="AR262" s="86"/>
      <c r="AS262" s="84"/>
      <c r="AT262" s="86"/>
      <c r="AU262" s="84"/>
      <c r="AV262" s="86"/>
      <c r="AW262" s="84"/>
      <c r="AX262" s="84"/>
      <c r="AY262" s="84"/>
    </row>
    <row r="263" spans="1:51" x14ac:dyDescent="0.25">
      <c r="C263" s="88"/>
      <c r="D263" s="89"/>
      <c r="E263" s="90"/>
      <c r="F263" s="90"/>
      <c r="G263" s="90"/>
      <c r="H263" s="89"/>
      <c r="I263" s="90"/>
      <c r="J263" s="90"/>
      <c r="K263" s="90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/>
      <c r="Y263"/>
      <c r="Z263"/>
      <c r="AA263"/>
      <c r="AB263"/>
      <c r="AC263"/>
      <c r="AD263"/>
      <c r="AE263"/>
      <c r="AF263"/>
      <c r="AG263"/>
      <c r="AH263"/>
      <c r="AI263"/>
      <c r="AJ263" s="84"/>
      <c r="AK263" s="84"/>
      <c r="AL263" s="84"/>
      <c r="AM263" s="84"/>
      <c r="AN263" s="84"/>
      <c r="AO263"/>
      <c r="AP263" s="89"/>
      <c r="AQ263" s="89"/>
      <c r="AR263" s="89"/>
      <c r="AT263" s="89"/>
      <c r="AV263" s="89"/>
      <c r="AX263" s="89"/>
      <c r="AY263" s="91"/>
    </row>
    <row r="264" spans="1:51" x14ac:dyDescent="0.25">
      <c r="A264" s="84"/>
      <c r="B264" s="94" t="s">
        <v>32</v>
      </c>
      <c r="C264" s="92"/>
      <c r="D264"/>
      <c r="E264"/>
      <c r="F264"/>
      <c r="G264"/>
      <c r="H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 s="84"/>
      <c r="AK264" s="84"/>
      <c r="AL264" s="84"/>
      <c r="AM264" s="84"/>
      <c r="AN264" s="84"/>
      <c r="AO264"/>
    </row>
    <row r="265" spans="1:51" x14ac:dyDescent="0.25">
      <c r="A265" s="84"/>
      <c r="B265" s="95" t="s">
        <v>56</v>
      </c>
      <c r="C265" s="93"/>
      <c r="D265"/>
      <c r="E265"/>
      <c r="F265"/>
      <c r="G265"/>
      <c r="H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</row>
  </sheetData>
  <mergeCells count="13">
    <mergeCell ref="C8:E8"/>
    <mergeCell ref="R8:T8"/>
    <mergeCell ref="O8:Q8"/>
    <mergeCell ref="AA8:AC8"/>
    <mergeCell ref="AD8:AF8"/>
    <mergeCell ref="X8:Z8"/>
    <mergeCell ref="U8:W8"/>
    <mergeCell ref="AJ8:AL8"/>
    <mergeCell ref="AM8:AO8"/>
    <mergeCell ref="AG8:AI8"/>
    <mergeCell ref="F8:H8"/>
    <mergeCell ref="I8:K8"/>
    <mergeCell ref="L8:N8"/>
  </mergeCells>
  <phoneticPr fontId="16" type="noConversion"/>
  <printOptions horizontalCentered="1"/>
  <pageMargins left="0.2" right="0.2" top="0.41" bottom="0.28999999999999998" header="0.28000000000000003" footer="0.13"/>
  <pageSetup paperSize="10000" scale="44" fitToHeight="0" orientation="landscape" horizontalDpi="0" verticalDpi="0" r:id="rId1"/>
  <headerFooter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RAF</vt:lpstr>
      <vt:lpstr>RAF!Print_Area</vt:lpstr>
      <vt:lpstr>RAF!Print_Titles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</dc:creator>
  <cp:lastModifiedBy>Budget Office</cp:lastModifiedBy>
  <cp:lastPrinted>2025-10-29T06:47:42Z</cp:lastPrinted>
  <dcterms:created xsi:type="dcterms:W3CDTF">2017-06-29T00:39:49Z</dcterms:created>
  <dcterms:modified xsi:type="dcterms:W3CDTF">2026-02-23T01:26:21Z</dcterms:modified>
</cp:coreProperties>
</file>